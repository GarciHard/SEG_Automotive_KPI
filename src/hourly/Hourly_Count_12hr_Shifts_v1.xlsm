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1" activeTab="4"/>
  </bookViews>
  <sheets>
    <sheet name="Standard" sheetId="1" state="hidden" r:id="rId1"/>
    <sheet name="hourlyExcel" sheetId="8" r:id="rId2"/>
    <sheet name="hourlyJava" sheetId="4" state="hidden" r:id="rId3"/>
    <sheet name="Proposal" sheetId="2" r:id="rId4"/>
    <sheet name="OEE con Factores de Pérdida 100" sheetId="5" r:id="rId5"/>
  </sheets>
  <definedNames>
    <definedName name="_xlnm._FilterDatabase" localSheetId="4" hidden="1">'OEE con Factores de Pérdida 100'!$A$1:$V$4</definedName>
    <definedName name="_xlnm.Print_Area" localSheetId="3">Proposal!$A$1:$AZ$39</definedName>
    <definedName name="_xlnm.Print_Area" localSheetId="0">Standard!$B$1:$AT$38</definedName>
    <definedName name="SystemKPI.od" localSheetId="1" hidden="1">hourlyExcel!$B$2:$I$32</definedName>
    <definedName name="SystemKPI_HourlyCount.od" localSheetId="2" hidden="1">hourlyJava!$B$2:$O$26</definedName>
  </definedNames>
  <calcPr calcId="162913"/>
</workbook>
</file>

<file path=xl/calcChain.xml><?xml version="1.0" encoding="utf-8"?>
<calcChain xmlns="http://schemas.openxmlformats.org/spreadsheetml/2006/main">
  <c r="AV21" i="2" l="1"/>
  <c r="AV22" i="2"/>
  <c r="AV23" i="2"/>
  <c r="AV24" i="2"/>
  <c r="AV25" i="2"/>
  <c r="AU21" i="2"/>
  <c r="AU22" i="2"/>
  <c r="AU23" i="2"/>
  <c r="AU24" i="2"/>
  <c r="AU25" i="2"/>
  <c r="AT21" i="2"/>
  <c r="AT22" i="2"/>
  <c r="AT23" i="2"/>
  <c r="AT24" i="2"/>
  <c r="AT25" i="2"/>
  <c r="AR21" i="2"/>
  <c r="AR22" i="2"/>
  <c r="AR23" i="2"/>
  <c r="AR24" i="2"/>
  <c r="AR25" i="2"/>
  <c r="AQ21" i="2"/>
  <c r="AQ22" i="2"/>
  <c r="AQ23" i="2"/>
  <c r="AQ24" i="2"/>
  <c r="AQ25" i="2"/>
  <c r="AP21" i="2"/>
  <c r="AP22" i="2"/>
  <c r="AP23" i="2"/>
  <c r="AP24" i="2"/>
  <c r="AP25" i="2"/>
  <c r="AO21" i="2"/>
  <c r="AO22" i="2"/>
  <c r="AO23" i="2"/>
  <c r="AO24" i="2"/>
  <c r="AO25" i="2"/>
  <c r="AN21" i="2"/>
  <c r="AN22" i="2"/>
  <c r="AN23" i="2"/>
  <c r="AN24" i="2"/>
  <c r="AN25" i="2"/>
  <c r="AL21" i="2"/>
  <c r="AL22" i="2"/>
  <c r="AL23" i="2"/>
  <c r="AL24" i="2"/>
  <c r="AL25" i="2"/>
  <c r="AK21" i="2"/>
  <c r="AK22" i="2"/>
  <c r="AK23" i="2"/>
  <c r="AK24" i="2"/>
  <c r="AK25" i="2"/>
  <c r="AV20" i="2"/>
  <c r="AU20" i="2"/>
  <c r="AT20" i="2"/>
  <c r="AR20" i="2"/>
  <c r="AQ20" i="2"/>
  <c r="AP20" i="2"/>
  <c r="AO20" i="2"/>
  <c r="AN20" i="2"/>
  <c r="AL20" i="2"/>
  <c r="AK20" i="2"/>
  <c r="AV8" i="2"/>
  <c r="AV9" i="2"/>
  <c r="AV10" i="2"/>
  <c r="AV11" i="2"/>
  <c r="AV12" i="2"/>
  <c r="AV13" i="2"/>
  <c r="AV14" i="2"/>
  <c r="AV15" i="2"/>
  <c r="AV16" i="2"/>
  <c r="AV17" i="2"/>
  <c r="AV18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R8" i="2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L8" i="2"/>
  <c r="AL9" i="2"/>
  <c r="AL10" i="2"/>
  <c r="AL11" i="2"/>
  <c r="AL12" i="2"/>
  <c r="AL13" i="2"/>
  <c r="AL14" i="2"/>
  <c r="AL15" i="2"/>
  <c r="AL16" i="2"/>
  <c r="AL17" i="2"/>
  <c r="AL18" i="2"/>
  <c r="AK8" i="2"/>
  <c r="AK9" i="2"/>
  <c r="AK10" i="2"/>
  <c r="AK11" i="2"/>
  <c r="AK12" i="2"/>
  <c r="AK13" i="2"/>
  <c r="AK14" i="2"/>
  <c r="AK15" i="2"/>
  <c r="AK16" i="2"/>
  <c r="AK17" i="2"/>
  <c r="AK18" i="2"/>
  <c r="AK7" i="2"/>
  <c r="AV7" i="2"/>
  <c r="AU7" i="2"/>
  <c r="AT7" i="2"/>
  <c r="AR7" i="2"/>
  <c r="AQ7" i="2"/>
  <c r="AP7" i="2"/>
  <c r="AO7" i="2"/>
  <c r="AN7" i="2"/>
  <c r="AL7" i="2"/>
  <c r="AV27" i="2"/>
  <c r="AV28" i="2"/>
  <c r="AV29" i="2"/>
  <c r="AV30" i="2"/>
  <c r="AV31" i="2"/>
  <c r="AU27" i="2"/>
  <c r="AU28" i="2"/>
  <c r="AU29" i="2"/>
  <c r="AU30" i="2"/>
  <c r="AU31" i="2"/>
  <c r="AT27" i="2"/>
  <c r="AT28" i="2"/>
  <c r="AT29" i="2"/>
  <c r="AT30" i="2"/>
  <c r="AT31" i="2"/>
  <c r="AR27" i="2"/>
  <c r="AR28" i="2"/>
  <c r="AR29" i="2"/>
  <c r="AR30" i="2"/>
  <c r="AR31" i="2"/>
  <c r="AQ27" i="2"/>
  <c r="AQ28" i="2"/>
  <c r="AQ29" i="2"/>
  <c r="AQ30" i="2"/>
  <c r="AQ31" i="2"/>
  <c r="AP27" i="2"/>
  <c r="AP28" i="2"/>
  <c r="AP29" i="2"/>
  <c r="AP30" i="2"/>
  <c r="AP31" i="2"/>
  <c r="AO27" i="2"/>
  <c r="AO28" i="2"/>
  <c r="AO29" i="2"/>
  <c r="AO30" i="2"/>
  <c r="AO31" i="2"/>
  <c r="AN27" i="2"/>
  <c r="AN28" i="2"/>
  <c r="AN29" i="2"/>
  <c r="AN30" i="2"/>
  <c r="AN31" i="2"/>
  <c r="AL27" i="2"/>
  <c r="AL28" i="2"/>
  <c r="AL29" i="2"/>
  <c r="AL30" i="2"/>
  <c r="AL31" i="2"/>
  <c r="AK27" i="2"/>
  <c r="AK28" i="2"/>
  <c r="AK29" i="2"/>
  <c r="AK30" i="2"/>
  <c r="AK31" i="2"/>
  <c r="AV26" i="2"/>
  <c r="AU26" i="2"/>
  <c r="AT26" i="2"/>
  <c r="AR26" i="2"/>
  <c r="AQ26" i="2"/>
  <c r="AP26" i="2"/>
  <c r="AO26" i="2"/>
  <c r="AN26" i="2"/>
  <c r="AL26" i="2"/>
  <c r="AK26" i="2"/>
  <c r="H8" i="2"/>
  <c r="H9" i="2"/>
  <c r="H10" i="2"/>
  <c r="H11" i="2"/>
  <c r="H12" i="2"/>
  <c r="H13" i="2"/>
  <c r="H14" i="2"/>
  <c r="H15" i="2"/>
  <c r="H16" i="2"/>
  <c r="H17" i="2"/>
  <c r="H18" i="2"/>
  <c r="H7" i="2"/>
  <c r="H27" i="2"/>
  <c r="H28" i="2"/>
  <c r="H29" i="2"/>
  <c r="H30" i="2"/>
  <c r="H31" i="2"/>
  <c r="H26" i="2"/>
  <c r="H21" i="2"/>
  <c r="H22" i="2"/>
  <c r="H23" i="2"/>
  <c r="H24" i="2"/>
  <c r="H25" i="2"/>
  <c r="H20" i="2"/>
  <c r="AO48" i="5" l="1"/>
  <c r="AE58" i="5" s="1"/>
  <c r="AF58" i="5" s="1"/>
  <c r="AG58" i="5" s="1"/>
  <c r="AH58" i="5" s="1"/>
  <c r="AI58" i="5" s="1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AE38" i="5" l="1"/>
  <c r="AF38" i="5" s="1"/>
  <c r="AG38" i="5" s="1"/>
  <c r="AH38" i="5" s="1"/>
  <c r="AI38" i="5" s="1"/>
  <c r="AJ38" i="5" s="1"/>
  <c r="AK38" i="5" s="1"/>
  <c r="AL38" i="5" s="1"/>
  <c r="AM38" i="5" s="1"/>
  <c r="AN38" i="5" s="1"/>
  <c r="AO38" i="5" s="1"/>
  <c r="AP38" i="5" s="1"/>
  <c r="AQ38" i="5" s="1"/>
  <c r="AR38" i="5" s="1"/>
  <c r="AS38" i="5" s="1"/>
  <c r="AT38" i="5" s="1"/>
  <c r="AU38" i="5" s="1"/>
  <c r="AV38" i="5" s="1"/>
  <c r="AW38" i="5" s="1"/>
  <c r="AX38" i="5" s="1"/>
  <c r="AY38" i="5" s="1"/>
  <c r="AZ38" i="5" s="1"/>
  <c r="BA38" i="5" s="1"/>
  <c r="BB38" i="5" s="1"/>
  <c r="BC38" i="5" s="1"/>
  <c r="BD38" i="5" s="1"/>
  <c r="BE38" i="5" s="1"/>
  <c r="BF38" i="5" s="1"/>
  <c r="BG38" i="5" s="1"/>
  <c r="BH38" i="5" s="1"/>
  <c r="BI38" i="5" s="1"/>
  <c r="AJ58" i="5"/>
  <c r="I20" i="2" l="1"/>
  <c r="I21" i="2" l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7" i="2"/>
  <c r="F3" i="2"/>
  <c r="A3" i="5" s="1"/>
  <c r="AT3" i="2"/>
  <c r="S1" i="5" s="1"/>
  <c r="AJ37" i="5" l="1"/>
  <c r="AJ36" i="5"/>
  <c r="AJ35" i="5"/>
  <c r="AJ34" i="5"/>
  <c r="AJ33" i="5"/>
  <c r="AJ32" i="5"/>
  <c r="AB30" i="5"/>
  <c r="AB40" i="5"/>
  <c r="AB50" i="5"/>
  <c r="AB5" i="5"/>
  <c r="AB25" i="5"/>
  <c r="AB10" i="5"/>
  <c r="AB15" i="5"/>
  <c r="AB20" i="5"/>
  <c r="H32" i="2"/>
  <c r="I8" i="2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AP32" i="2"/>
  <c r="AO32" i="2"/>
  <c r="H19" i="2" l="1"/>
  <c r="H34" i="2"/>
  <c r="D30" i="2"/>
  <c r="D29" i="2"/>
  <c r="D28" i="2"/>
  <c r="D27" i="2"/>
  <c r="D17" i="2"/>
  <c r="D16" i="2"/>
  <c r="D15" i="2"/>
  <c r="D14" i="2"/>
  <c r="BB27" i="2" l="1"/>
  <c r="F27" i="2"/>
  <c r="AX27" i="2" s="1"/>
  <c r="BB15" i="2"/>
  <c r="F15" i="2"/>
  <c r="AX15" i="2" s="1"/>
  <c r="BB28" i="2"/>
  <c r="F28" i="2"/>
  <c r="AX28" i="2" s="1"/>
  <c r="BB14" i="2"/>
  <c r="F14" i="2"/>
  <c r="AX14" i="2" s="1"/>
  <c r="BB29" i="2"/>
  <c r="F29" i="2"/>
  <c r="AX29" i="2" s="1"/>
  <c r="BB16" i="2"/>
  <c r="F16" i="2"/>
  <c r="AX16" i="2" s="1"/>
  <c r="BB17" i="2"/>
  <c r="F17" i="2"/>
  <c r="AX17" i="2" s="1"/>
  <c r="BB30" i="2"/>
  <c r="F30" i="2"/>
  <c r="AX30" i="2" s="1"/>
  <c r="D10" i="2"/>
  <c r="BB10" i="2" l="1"/>
  <c r="F10" i="2"/>
  <c r="D21" i="2"/>
  <c r="D22" i="2"/>
  <c r="D23" i="2"/>
  <c r="D24" i="2"/>
  <c r="D25" i="2"/>
  <c r="D26" i="2"/>
  <c r="D31" i="2"/>
  <c r="F31" i="2" s="1"/>
  <c r="D20" i="2"/>
  <c r="F20" i="2" s="1"/>
  <c r="D8" i="2"/>
  <c r="D9" i="2"/>
  <c r="D11" i="2"/>
  <c r="D12" i="2"/>
  <c r="D13" i="2"/>
  <c r="D18" i="2"/>
  <c r="D7" i="2"/>
  <c r="F7" i="2" s="1"/>
  <c r="AQ32" i="2"/>
  <c r="AN32" i="2"/>
  <c r="AM32" i="2"/>
  <c r="AL32" i="2"/>
  <c r="AQ19" i="2"/>
  <c r="AP19" i="2"/>
  <c r="AO19" i="2"/>
  <c r="AN19" i="2"/>
  <c r="AM19" i="2"/>
  <c r="AL19" i="2"/>
  <c r="BB18" i="2" l="1"/>
  <c r="F18" i="2"/>
  <c r="AX18" i="2" s="1"/>
  <c r="BB9" i="2"/>
  <c r="F9" i="2"/>
  <c r="AX9" i="2" s="1"/>
  <c r="BB26" i="2"/>
  <c r="F26" i="2"/>
  <c r="BB22" i="2"/>
  <c r="F22" i="2"/>
  <c r="BB13" i="2"/>
  <c r="F13" i="2"/>
  <c r="AX13" i="2" s="1"/>
  <c r="BB8" i="2"/>
  <c r="F8" i="2"/>
  <c r="AX8" i="2" s="1"/>
  <c r="BB25" i="2"/>
  <c r="F25" i="2"/>
  <c r="BB21" i="2"/>
  <c r="F21" i="2"/>
  <c r="BB12" i="2"/>
  <c r="F12" i="2"/>
  <c r="AX12" i="2" s="1"/>
  <c r="BB24" i="2"/>
  <c r="F24" i="2"/>
  <c r="BB11" i="2"/>
  <c r="F11" i="2"/>
  <c r="AX11" i="2" s="1"/>
  <c r="BB23" i="2"/>
  <c r="F23" i="2"/>
  <c r="BB7" i="2"/>
  <c r="AX7" i="2"/>
  <c r="AL34" i="2"/>
  <c r="AX31" i="2"/>
  <c r="BB31" i="2"/>
  <c r="E20" i="2"/>
  <c r="BB20" i="2"/>
  <c r="AQ34" i="2"/>
  <c r="AP34" i="2"/>
  <c r="AO34" i="2"/>
  <c r="AN34" i="2"/>
  <c r="AM34" i="2"/>
  <c r="AX10" i="2"/>
  <c r="E7" i="2"/>
  <c r="AX26" i="2" l="1"/>
  <c r="AX25" i="2"/>
  <c r="AX24" i="2"/>
  <c r="AX23" i="2"/>
  <c r="AX22" i="2"/>
  <c r="AX21" i="2"/>
  <c r="AX20" i="2"/>
  <c r="AY20" i="2" s="1"/>
  <c r="F34" i="2"/>
  <c r="AY7" i="2"/>
  <c r="BA7" i="2" s="1"/>
  <c r="E8" i="2"/>
  <c r="G7" i="2"/>
  <c r="G20" i="2"/>
  <c r="E21" i="2"/>
  <c r="E9" i="2" l="1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AY21" i="2" s="1"/>
  <c r="G8" i="2"/>
  <c r="AY8" i="2" s="1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E32" i="2" l="1"/>
  <c r="E19" i="2"/>
  <c r="G22" i="2"/>
  <c r="AY22" i="2" s="1"/>
  <c r="BA8" i="2"/>
  <c r="G9" i="2"/>
  <c r="G10" i="2" s="1"/>
  <c r="G11" i="2" s="1"/>
  <c r="AY11" i="2" s="1"/>
  <c r="D34" i="1"/>
  <c r="E34" i="2" l="1"/>
  <c r="H33" i="2" s="1"/>
  <c r="BI32" i="5" s="1"/>
  <c r="G23" i="2"/>
  <c r="AY23" i="2" s="1"/>
  <c r="BA9" i="2"/>
  <c r="BA10" i="2"/>
  <c r="AY10" i="2"/>
  <c r="AY9" i="2"/>
  <c r="G12" i="2"/>
  <c r="BA11" i="2"/>
  <c r="BG32" i="5" l="1"/>
  <c r="BH32" i="5"/>
  <c r="AI52" i="5" s="1"/>
  <c r="BE32" i="5"/>
  <c r="BF32" i="5"/>
  <c r="BC32" i="5"/>
  <c r="BD32" i="5"/>
  <c r="BA32" i="5"/>
  <c r="BB32" i="5"/>
  <c r="AY32" i="5"/>
  <c r="AZ32" i="5"/>
  <c r="AW32" i="5"/>
  <c r="AX32" i="5"/>
  <c r="AU32" i="5"/>
  <c r="AV32" i="5"/>
  <c r="AS32" i="5"/>
  <c r="AT32" i="5"/>
  <c r="AN32" i="5"/>
  <c r="AR32" i="5"/>
  <c r="AL32" i="5"/>
  <c r="AM32" i="5"/>
  <c r="AI32" i="5"/>
  <c r="AK32" i="5"/>
  <c r="AE32" i="5"/>
  <c r="AH32" i="5"/>
  <c r="AQ33" i="2"/>
  <c r="AN33" i="2"/>
  <c r="AL33" i="2"/>
  <c r="AP33" i="2"/>
  <c r="AO33" i="2"/>
  <c r="AF32" i="5"/>
  <c r="AG32" i="5"/>
  <c r="AP32" i="5"/>
  <c r="AO32" i="5"/>
  <c r="AQ32" i="5"/>
  <c r="G24" i="2"/>
  <c r="AY24" i="2" s="1"/>
  <c r="G13" i="2"/>
  <c r="AY12" i="2"/>
  <c r="BA12" i="2"/>
  <c r="BH34" i="5" l="1"/>
  <c r="BI34" i="5"/>
  <c r="BH33" i="5"/>
  <c r="BI33" i="5"/>
  <c r="BH36" i="5"/>
  <c r="BI36" i="5"/>
  <c r="BH35" i="5"/>
  <c r="BI35" i="5"/>
  <c r="BH37" i="5"/>
  <c r="BI37" i="5"/>
  <c r="BF36" i="5"/>
  <c r="BG36" i="5"/>
  <c r="BF35" i="5"/>
  <c r="BG35" i="5"/>
  <c r="BF37" i="5"/>
  <c r="BG37" i="5"/>
  <c r="BF34" i="5"/>
  <c r="BG34" i="5"/>
  <c r="BF33" i="5"/>
  <c r="BG33" i="5"/>
  <c r="BD33" i="5"/>
  <c r="BE33" i="5"/>
  <c r="BD36" i="5"/>
  <c r="BE36" i="5"/>
  <c r="BD34" i="5"/>
  <c r="BE34" i="5"/>
  <c r="BD35" i="5"/>
  <c r="BE35" i="5"/>
  <c r="BD37" i="5"/>
  <c r="BE37" i="5"/>
  <c r="BB36" i="5"/>
  <c r="BC36" i="5"/>
  <c r="BB35" i="5"/>
  <c r="BC35" i="5"/>
  <c r="BB37" i="5"/>
  <c r="BC37" i="5"/>
  <c r="BB34" i="5"/>
  <c r="BC34" i="5"/>
  <c r="BB33" i="5"/>
  <c r="BC33" i="5"/>
  <c r="AH52" i="5"/>
  <c r="AZ33" i="5"/>
  <c r="BA33" i="5"/>
  <c r="AZ34" i="5"/>
  <c r="BA34" i="5"/>
  <c r="AZ36" i="5"/>
  <c r="BA36" i="5"/>
  <c r="AZ35" i="5"/>
  <c r="BA35" i="5"/>
  <c r="AZ37" i="5"/>
  <c r="BA37" i="5"/>
  <c r="AX35" i="5"/>
  <c r="AY35" i="5"/>
  <c r="AX37" i="5"/>
  <c r="AY37" i="5"/>
  <c r="AX34" i="5"/>
  <c r="AY34" i="5"/>
  <c r="AX36" i="5"/>
  <c r="AY36" i="5"/>
  <c r="AX33" i="5"/>
  <c r="AY33" i="5"/>
  <c r="AV34" i="5"/>
  <c r="AW34" i="5"/>
  <c r="AV33" i="5"/>
  <c r="AW33" i="5"/>
  <c r="AV36" i="5"/>
  <c r="AW36" i="5"/>
  <c r="AV35" i="5"/>
  <c r="AW35" i="5"/>
  <c r="AV37" i="5"/>
  <c r="AW37" i="5"/>
  <c r="AG52" i="5"/>
  <c r="AT35" i="5"/>
  <c r="AU35" i="5"/>
  <c r="AT37" i="5"/>
  <c r="AU37" i="5"/>
  <c r="AT34" i="5"/>
  <c r="AU34" i="5"/>
  <c r="AT36" i="5"/>
  <c r="AU36" i="5"/>
  <c r="AT33" i="5"/>
  <c r="AU33" i="5"/>
  <c r="AR33" i="5"/>
  <c r="AS33" i="5"/>
  <c r="AR36" i="5"/>
  <c r="AS36" i="5"/>
  <c r="AR34" i="5"/>
  <c r="AS34" i="5"/>
  <c r="AR35" i="5"/>
  <c r="AS35" i="5"/>
  <c r="AR37" i="5"/>
  <c r="AS37" i="5"/>
  <c r="AM36" i="5"/>
  <c r="AN36" i="5"/>
  <c r="AM35" i="5"/>
  <c r="AN35" i="5"/>
  <c r="AM37" i="5"/>
  <c r="AN37" i="5"/>
  <c r="AM34" i="5"/>
  <c r="AN34" i="5"/>
  <c r="AM33" i="5"/>
  <c r="AN33" i="5"/>
  <c r="AK34" i="5"/>
  <c r="AL34" i="5"/>
  <c r="AK33" i="5"/>
  <c r="AL33" i="5"/>
  <c r="AK36" i="5"/>
  <c r="AL36" i="5"/>
  <c r="AK35" i="5"/>
  <c r="AL35" i="5"/>
  <c r="AK37" i="5"/>
  <c r="AL37" i="5"/>
  <c r="AH36" i="5"/>
  <c r="AI36" i="5"/>
  <c r="AH35" i="5"/>
  <c r="AI35" i="5"/>
  <c r="AH37" i="5"/>
  <c r="AI37" i="5"/>
  <c r="AH34" i="5"/>
  <c r="AI34" i="5"/>
  <c r="AH33" i="5"/>
  <c r="AI33" i="5"/>
  <c r="AG36" i="5"/>
  <c r="AE36" i="5"/>
  <c r="AG34" i="5"/>
  <c r="AE34" i="5"/>
  <c r="AG33" i="5"/>
  <c r="AE33" i="5"/>
  <c r="AG37" i="5"/>
  <c r="AE37" i="5"/>
  <c r="AG35" i="5"/>
  <c r="AE35" i="5"/>
  <c r="AE52" i="5"/>
  <c r="AO34" i="5"/>
  <c r="AF34" i="5"/>
  <c r="AO33" i="5"/>
  <c r="AF33" i="5"/>
  <c r="AO35" i="5"/>
  <c r="AF35" i="5"/>
  <c r="AO37" i="5"/>
  <c r="AF37" i="5"/>
  <c r="AO36" i="5"/>
  <c r="AF36" i="5"/>
  <c r="AQ36" i="5"/>
  <c r="AP36" i="5"/>
  <c r="AQ37" i="5"/>
  <c r="AP37" i="5"/>
  <c r="AQ34" i="5"/>
  <c r="AP34" i="5"/>
  <c r="AQ33" i="5"/>
  <c r="AP33" i="5"/>
  <c r="AQ35" i="5"/>
  <c r="AP35" i="5"/>
  <c r="BJ32" i="5"/>
  <c r="AO42" i="5" s="1"/>
  <c r="AR42" i="5" s="1"/>
  <c r="AF52" i="5"/>
  <c r="G25" i="2"/>
  <c r="AY25" i="2" s="1"/>
  <c r="G14" i="2"/>
  <c r="BA14" i="2" s="1"/>
  <c r="BA13" i="2"/>
  <c r="AY13" i="2"/>
  <c r="AI57" i="5" l="1"/>
  <c r="AI56" i="5"/>
  <c r="AI54" i="5"/>
  <c r="AI53" i="5"/>
  <c r="AI55" i="5"/>
  <c r="AH57" i="5"/>
  <c r="AH56" i="5"/>
  <c r="AH55" i="5"/>
  <c r="AH54" i="5"/>
  <c r="AH53" i="5"/>
  <c r="AJ52" i="5"/>
  <c r="AG56" i="5"/>
  <c r="AG57" i="5"/>
  <c r="AG53" i="5"/>
  <c r="AG54" i="5"/>
  <c r="AG55" i="5"/>
  <c r="AE56" i="5"/>
  <c r="AE53" i="5"/>
  <c r="AE55" i="5"/>
  <c r="AE57" i="5"/>
  <c r="AE54" i="5"/>
  <c r="BJ35" i="5"/>
  <c r="AO45" i="5" s="1"/>
  <c r="AR45" i="5" s="1"/>
  <c r="BJ36" i="5"/>
  <c r="AO46" i="5" s="1"/>
  <c r="AR46" i="5" s="1"/>
  <c r="AF57" i="5"/>
  <c r="BJ33" i="5"/>
  <c r="AO43" i="5" s="1"/>
  <c r="AR43" i="5" s="1"/>
  <c r="AF55" i="5"/>
  <c r="AF54" i="5"/>
  <c r="AF56" i="5"/>
  <c r="BJ34" i="5"/>
  <c r="AO44" i="5" s="1"/>
  <c r="AR44" i="5" s="1"/>
  <c r="AF53" i="5"/>
  <c r="BJ37" i="5"/>
  <c r="AO47" i="5" s="1"/>
  <c r="AR47" i="5" s="1"/>
  <c r="G26" i="2"/>
  <c r="AY26" i="2" s="1"/>
  <c r="AY14" i="2"/>
  <c r="G15" i="2"/>
  <c r="BA15" i="2" s="1"/>
  <c r="AJ53" i="5" l="1"/>
  <c r="AJ54" i="5"/>
  <c r="AJ55" i="5"/>
  <c r="AJ56" i="5"/>
  <c r="AJ57" i="5"/>
  <c r="G27" i="2"/>
  <c r="AY27" i="2" s="1"/>
  <c r="G16" i="2"/>
  <c r="G17" i="2" s="1"/>
  <c r="AY15" i="2"/>
  <c r="G28" i="2" l="1"/>
  <c r="AY28" i="2" s="1"/>
  <c r="BA16" i="2"/>
  <c r="AY16" i="2"/>
  <c r="G18" i="2"/>
  <c r="BA17" i="2"/>
  <c r="AY17" i="2"/>
  <c r="G29" i="2" l="1"/>
  <c r="G30" i="2" s="1"/>
  <c r="BA18" i="2"/>
  <c r="F19" i="2"/>
  <c r="AY18" i="2"/>
  <c r="AY19" i="2" s="1"/>
  <c r="BA29" i="2" l="1"/>
  <c r="AY29" i="2"/>
  <c r="BA21" i="2"/>
  <c r="BA25" i="2"/>
  <c r="BA22" i="2"/>
  <c r="BA26" i="2"/>
  <c r="BA24" i="2"/>
  <c r="BA23" i="2"/>
  <c r="BA20" i="2"/>
  <c r="BA27" i="2"/>
  <c r="BA28" i="2"/>
  <c r="AY30" i="2"/>
  <c r="BA30" i="2"/>
  <c r="G31" i="2"/>
  <c r="F32" i="2" s="1"/>
  <c r="AY31" i="2" l="1"/>
  <c r="AY32" i="2" s="1"/>
  <c r="BA31" i="2"/>
  <c r="AX36" i="2" s="1"/>
</calcChain>
</file>

<file path=xl/connections.xml><?xml version="1.0" encoding="utf-8"?>
<connections xmlns="http://schemas.openxmlformats.org/spreadsheetml/2006/main">
  <connection id="1" sourceFile="C:\Users\GJA5TL\Desktop\SystemKPI.accdb" keepAlive="1" interval="1" name="SystemKPI" type="5" refreshedVersion="0" new="1" background="1" refreshOnLoad="1" saveData="1">
    <dbPr connection="Provider=Microsoft.ACE.OLEDB.12.0;Password=&quot;&quot;;User ID=Admin;Data Source=C:\Users\GJA5TL\Desktop\SystemKPI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2" sourceFile="C:\Users\GJA5TL\Desktop\SystemKPI.accdb" odcFile="C:\Users\GJA5TL\Documents\My Data Sources\SystemKPI HourlyCount.od.odc" keepAlive="1" interval="1" name="SystemKPI HourlyCount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3" sourceFile="C:\Users\GJA5TL\Desktop\SystemKPI.accdb" odcFile="C:\Users\GJA5TL\Documents\My Data Sources\SystemKPI HourlyCount.od.odc" keepAlive="1" interval="1" name="SystemKPI HourlyCount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4" sourceFile="C:\Users\GJA5TL.SG\Desktop\SystemKPI.accdb" odcFile="C:\Users\GJA5TL.SG\Documents\My Data Sources\SystemKPI.od.odc" keepAlive="1" interval="1" name="SystemKPI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</connections>
</file>

<file path=xl/sharedStrings.xml><?xml version="1.0" encoding="utf-8"?>
<sst xmlns="http://schemas.openxmlformats.org/spreadsheetml/2006/main" count="830" uniqueCount="268">
  <si>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</si>
  <si>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</si>
  <si>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</si>
  <si>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</si>
  <si>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</si>
  <si>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</si>
  <si>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</si>
  <si>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</si>
  <si>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</si>
  <si>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</si>
  <si>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</si>
  <si>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</si>
  <si>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</si>
  <si>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</si>
  <si>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</si>
  <si>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</si>
  <si>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</si>
  <si>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</si>
  <si>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</si>
  <si>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</si>
  <si>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</si>
  <si>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</si>
  <si>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</si>
  <si>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</si>
  <si>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</si>
  <si>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</si>
  <si>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</si>
  <si>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</si>
  <si>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</si>
  <si>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</si>
  <si>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</si>
  <si>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</si>
  <si>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</si>
  <si>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</si>
  <si>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</si>
  <si>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</si>
  <si>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</si>
  <si>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</si>
  <si>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</si>
  <si>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</si>
  <si>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</si>
  <si>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</si>
  <si>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</si>
  <si>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</si>
  <si>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</si>
  <si>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</si>
  <si>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</si>
  <si>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</si>
  <si>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</si>
  <si>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</si>
  <si>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</si>
  <si>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</si>
  <si>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</si>
  <si>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</si>
  <si>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</si>
  <si>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</si>
  <si>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</si>
  <si>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</si>
  <si>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</si>
  <si>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</si>
  <si>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</si>
  <si>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</si>
  <si>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</si>
  <si>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</si>
  <si>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</si>
  <si>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</si>
  <si>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</si>
  <si>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</si>
  <si>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</si>
  <si>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</si>
  <si>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</si>
  <si>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</si>
  <si>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</si>
  <si>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</si>
  <si>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</si>
  <si>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</si>
  <si>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</si>
  <si>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</si>
  <si>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</si>
  <si>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</si>
  <si>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</si>
  <si>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</si>
  <si>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Fecha</t>
  </si>
  <si>
    <t>NombreLinea</t>
  </si>
  <si>
    <t>Hora</t>
  </si>
  <si>
    <t>CantProducida</t>
  </si>
  <si>
    <t>NoParteTC</t>
  </si>
  <si>
    <t>CambioDuracion</t>
  </si>
  <si>
    <t>TecnicaDuracion</t>
  </si>
  <si>
    <t>OrganizacionalDuracion</t>
  </si>
  <si>
    <t>TiempoPDuracion</t>
  </si>
  <si>
    <t>OperacionX</t>
  </si>
  <si>
    <t>ProblemaX</t>
  </si>
  <si>
    <t>OperacionY</t>
  </si>
  <si>
    <t>ProblemaY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</si>
  <si>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</si>
  <si>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</si>
  <si>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</si>
  <si>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</si>
  <si>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</si>
  <si>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</si>
  <si>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</si>
  <si>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</si>
  <si>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</si>
  <si>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</si>
  <si>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</si>
  <si>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CW44</t>
  </si>
  <si>
    <t>CW43</t>
  </si>
  <si>
    <t>CW42</t>
  </si>
  <si>
    <t>CW41</t>
  </si>
  <si>
    <t>CW40</t>
  </si>
  <si>
    <t>SEMANAL</t>
  </si>
  <si>
    <t>Target E.17*</t>
  </si>
  <si>
    <t>YTD</t>
  </si>
  <si>
    <t>D</t>
  </si>
  <si>
    <t>N</t>
  </si>
  <si>
    <t>O</t>
  </si>
  <si>
    <t>S</t>
  </si>
  <si>
    <t>A</t>
  </si>
  <si>
    <t>J</t>
  </si>
  <si>
    <t>M</t>
  </si>
  <si>
    <t>F</t>
  </si>
  <si>
    <t>Av.* Q4.16</t>
  </si>
  <si>
    <t>MENSUAL</t>
  </si>
  <si>
    <t>DIARIO</t>
  </si>
  <si>
    <t>PD</t>
  </si>
  <si>
    <t>CMP</t>
  </si>
  <si>
    <t>PT</t>
  </si>
  <si>
    <t>POL</t>
  </si>
  <si>
    <t>POP</t>
  </si>
  <si>
    <t>POO</t>
  </si>
  <si>
    <t>PC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</si>
  <si>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</si>
  <si>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</si>
  <si>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</si>
  <si>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</si>
  <si>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</si>
  <si>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</si>
  <si>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>L003</t>
  </si>
  <si>
    <t>0</t>
  </si>
  <si>
    <t xml:space="preserve">
</t>
  </si>
  <si>
    <t xml:space="preserve"> 0.16% </t>
  </si>
  <si>
    <t xml:space="preserve"> 15.34% </t>
  </si>
  <si>
    <t xml:space="preserve"> 0.00% </t>
  </si>
  <si>
    <t xml:space="preserve"> 77.18% </t>
  </si>
  <si>
    <t xml:space="preserve"> 7.32% </t>
  </si>
  <si>
    <t>Mes</t>
  </si>
  <si>
    <t>Dia</t>
  </si>
  <si>
    <t>Calidad</t>
  </si>
  <si>
    <t>Organizacionales</t>
  </si>
  <si>
    <t>Tecnicas</t>
  </si>
  <si>
    <t>Cambios</t>
  </si>
  <si>
    <t>Desempeno</t>
  </si>
  <si>
    <t xml:space="preserve"> 10.72% </t>
  </si>
  <si>
    <t xml:space="preserve"> 1.68% </t>
  </si>
  <si>
    <t xml:space="preserve"> 81.20% </t>
  </si>
  <si>
    <t xml:space="preserve"> 6.40% </t>
  </si>
  <si>
    <t xml:space="preserve"> 17.02% </t>
  </si>
  <si>
    <t xml:space="preserve"> 2.59% </t>
  </si>
  <si>
    <t xml:space="preserve"> 8.21% </t>
  </si>
  <si>
    <t xml:space="preserve"> 59.21% </t>
  </si>
  <si>
    <t xml:space="preserve"> 12.97% </t>
  </si>
  <si>
    <t xml:space="preserve"> 5.52% </t>
  </si>
  <si>
    <t xml:space="preserve"> 42.73% </t>
  </si>
  <si>
    <t xml:space="preserve"> 31.94% </t>
  </si>
  <si>
    <t xml:space="preserve"> 19.82% </t>
  </si>
  <si>
    <t xml:space="preserve"> 14.57% </t>
  </si>
  <si>
    <t xml:space="preserve"> 1.64% </t>
  </si>
  <si>
    <t xml:space="preserve"> 72.25% </t>
  </si>
  <si>
    <t xml:space="preserve"> 11.55% </t>
  </si>
  <si>
    <t xml:space="preserve"> 8.33% </t>
  </si>
  <si>
    <t xml:space="preserve"> 91.67% </t>
  </si>
  <si>
    <t xml:space="preserve"> 65.93% </t>
  </si>
  <si>
    <t xml:space="preserve"> 7.68% </t>
  </si>
  <si>
    <t xml:space="preserve"> 20.48% </t>
  </si>
  <si>
    <t xml:space="preserve"> 5.91% </t>
  </si>
  <si>
    <t xml:space="preserve"> 19.71% </t>
  </si>
  <si>
    <t xml:space="preserve"> 0.72% </t>
  </si>
  <si>
    <t xml:space="preserve"> 36.17% </t>
  </si>
  <si>
    <t xml:space="preserve"> 43.40% </t>
  </si>
  <si>
    <t xml:space="preserve"> 13.63% </t>
  </si>
  <si>
    <t xml:space="preserve"> 3.79% </t>
  </si>
  <si>
    <t xml:space="preserve"> 22.36% </t>
  </si>
  <si>
    <t xml:space="preserve"> 45.80% </t>
  </si>
  <si>
    <t xml:space="preserve"> 14.42% </t>
  </si>
  <si>
    <t xml:space="preserve"> 0.63% </t>
  </si>
  <si>
    <t xml:space="preserve"> 6.50% </t>
  </si>
  <si>
    <t xml:space="preserve"> 66.91% </t>
  </si>
  <si>
    <t xml:space="preserve"> 6.25% </t>
  </si>
  <si>
    <t xml:space="preserve"> 67.29% </t>
  </si>
  <si>
    <t xml:space="preserve"> 19.27% </t>
  </si>
  <si>
    <t xml:space="preserve"> 13.44% </t>
  </si>
  <si>
    <t>-</t>
  </si>
  <si>
    <t xml:space="preserve"> 33.67% </t>
  </si>
  <si>
    <t xml:space="preserve"> 54.09% </t>
  </si>
  <si>
    <t xml:space="preserve"> 12.25% </t>
  </si>
  <si>
    <t xml:space="preserve"> 20.99% </t>
  </si>
  <si>
    <t xml:space="preserve"> 0.45% </t>
  </si>
  <si>
    <t xml:space="preserve"> 6.36% </t>
  </si>
  <si>
    <t xml:space="preserve"> 44.95% </t>
  </si>
  <si>
    <t xml:space="preserve"> 27.24% </t>
  </si>
  <si>
    <t xml:space="preserve"> 23.85% </t>
  </si>
  <si>
    <t xml:space="preserve"> 12.07% </t>
  </si>
  <si>
    <t xml:space="preserve"> 33.49% </t>
  </si>
  <si>
    <t xml:space="preserve"> 30.59% </t>
  </si>
  <si>
    <t xml:space="preserve"> 37.26% </t>
  </si>
  <si>
    <t xml:space="preserve"> 3.02% </t>
  </si>
  <si>
    <t xml:space="preserve"> 29.56% </t>
  </si>
  <si>
    <t xml:space="preserve"> 6.03% </t>
  </si>
  <si>
    <t xml:space="preserve"> 24.13% </t>
  </si>
  <si>
    <t xml:space="preserve"> 7.55% </t>
  </si>
  <si>
    <t xml:space="preserve"> 92.45% </t>
  </si>
  <si>
    <t xml:space="preserve"> 37.54% </t>
  </si>
  <si>
    <t xml:space="preserve"> 19.68% </t>
  </si>
  <si>
    <t xml:space="preserve"> 29.06% </t>
  </si>
  <si>
    <t xml:space="preserve"> 13.73% </t>
  </si>
  <si>
    <t xml:space="preserve"> 14.10% </t>
  </si>
  <si>
    <t xml:space="preserve"> 12.42% </t>
  </si>
  <si>
    <t xml:space="preserve"> 10.35% </t>
  </si>
  <si>
    <t xml:space="preserve"> 32.08% </t>
  </si>
  <si>
    <t xml:space="preserve"> 31.05% </t>
  </si>
  <si>
    <t xml:space="preserve"> 9.79% </t>
  </si>
  <si>
    <t xml:space="preserve"> 3.62% </t>
  </si>
  <si>
    <t xml:space="preserve"> 71.39% </t>
  </si>
  <si>
    <t xml:space="preserve"> 14.47% </t>
  </si>
  <si>
    <t xml:space="preserve"> 28.95% </t>
  </si>
  <si>
    <t xml:space="preserve"> 0.57% </t>
  </si>
  <si>
    <t xml:space="preserve"> 61.06% </t>
  </si>
  <si>
    <t xml:space="preserve"> 9.42% </t>
  </si>
  <si>
    <t xml:space="preserve"> 35.50% </t>
  </si>
  <si>
    <t xml:space="preserve"> 31.43% </t>
  </si>
  <si>
    <t xml:space="preserve"> 6.83% </t>
  </si>
  <si>
    <t xml:space="preserve"> 24.60% </t>
  </si>
  <si>
    <t>120</t>
  </si>
  <si>
    <t>0001174403/15</t>
  </si>
  <si>
    <t>235</t>
  </si>
  <si>
    <t xml:space="preserve">
L003</t>
  </si>
  <si>
    <t>220</t>
  </si>
  <si>
    <t>40</t>
  </si>
  <si>
    <t>0001174605/15</t>
  </si>
  <si>
    <t>200</t>
  </si>
  <si>
    <t xml:space="preserve">
1040
</t>
  </si>
  <si>
    <t xml:space="preserve">
Cambio de bote de grasa
</t>
  </si>
  <si>
    <t>3</t>
  </si>
  <si>
    <t xml:space="preserve"> 0.56% </t>
  </si>
  <si>
    <t xml:space="preserve"> 61.11% </t>
  </si>
  <si>
    <t xml:space="preserve"> 9.37% </t>
  </si>
  <si>
    <t>0001180603/15</t>
  </si>
  <si>
    <t xml:space="preserve">
FORD-0001180603 a AUDI-0001174403</t>
  </si>
  <si>
    <t xml:space="preserve">
1210
</t>
  </si>
  <si>
    <t xml:space="preserve">
Cambio de etiqueta
</t>
  </si>
  <si>
    <t xml:space="preserve">
1200
</t>
  </si>
  <si>
    <t xml:space="preserve">
Cambio de sensor y cable STN 1200
</t>
  </si>
  <si>
    <t xml:space="preserve">
L003
L003</t>
  </si>
  <si>
    <t xml:space="preserve">
AUDI-0001174403 a AUDI-0001174605
AUDI-0001174605 a FORD-0001180603</t>
  </si>
  <si>
    <t xml:space="preserve">
Para pruebas de nuevo proveedor</t>
  </si>
  <si>
    <t>109</t>
  </si>
  <si>
    <t xml:space="preserve">
FORD-0001180603 a AUDI-0001174605</t>
  </si>
  <si>
    <t>141</t>
  </si>
  <si>
    <t xml:space="preserve">
1140
</t>
  </si>
  <si>
    <t xml:space="preserve">
Falla camara cognex no da inicio ciclo, no detecta spring 3 y 4
</t>
  </si>
  <si>
    <t>100</t>
  </si>
  <si>
    <t>15</t>
  </si>
  <si>
    <t xml:space="preserve"> 14.68% </t>
  </si>
  <si>
    <t xml:space="preserve"> 0.76% </t>
  </si>
  <si>
    <t xml:space="preserve"> 15.10% </t>
  </si>
  <si>
    <t xml:space="preserve"> 38.00% </t>
  </si>
  <si>
    <t xml:space="preserve"> 31.46%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</si>
</sst>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\-yy;@"/>
    <numFmt numFmtId="165" formatCode="0.0"/>
    <numFmt numFmtId="166" formatCode="0.0%"/>
    <numFmt numFmtId="167" formatCode="d"/>
    <numFmt numFmtId="168" formatCode="[$-80A]mmmm&quot; de &quot;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B08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3366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43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4" fontId="0" fillId="0" borderId="0" xfId="0" applyNumberFormat="1"/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6" borderId="3" xfId="3" applyFont="1" applyFill="1" applyBorder="1" applyAlignment="1" applyProtection="1">
      <alignment horizontal="left"/>
    </xf>
    <xf numFmtId="0" fontId="42" fillId="16" borderId="2" xfId="3" applyFont="1" applyFill="1" applyBorder="1" applyAlignment="1" applyProtection="1">
      <alignment horizontal="left"/>
    </xf>
    <xf numFmtId="0" fontId="42" fillId="16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6" borderId="3" xfId="3" applyNumberFormat="1" applyFont="1" applyFill="1" applyBorder="1" applyAlignment="1" applyProtection="1">
      <alignment horizontal="center"/>
    </xf>
    <xf numFmtId="167" fontId="38" fillId="16" borderId="2" xfId="3" applyNumberFormat="1" applyFont="1" applyFill="1" applyBorder="1" applyAlignment="1" applyProtection="1">
      <alignment horizontal="center"/>
    </xf>
    <xf numFmtId="167" fontId="38" fillId="16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7" borderId="0" xfId="3" applyFont="1" applyFill="1" applyAlignment="1" applyProtection="1">
      <alignment horizontal="left"/>
    </xf>
    <xf numFmtId="0" fontId="40" fillId="0" borderId="0" xfId="3"/>
    <xf numFmtId="0" fontId="1" fillId="0" borderId="0" xfId="5" applyProtection="1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9" fontId="40" fillId="0" borderId="22" xfId="3" applyNumberForma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8" borderId="0" xfId="3" applyFill="1" applyBorder="1" applyProtection="1"/>
    <xf numFmtId="0" fontId="40" fillId="18" borderId="0" xfId="3" applyFill="1" applyBorder="1" applyAlignment="1" applyProtection="1">
      <alignment horizontal="center"/>
    </xf>
    <xf numFmtId="0" fontId="40" fillId="18" borderId="81" xfId="3" applyFill="1" applyBorder="1" applyProtection="1"/>
    <xf numFmtId="0" fontId="45" fillId="18" borderId="80" xfId="3" applyFont="1" applyFill="1" applyBorder="1" applyAlignment="1" applyProtection="1">
      <alignment vertical="center" textRotation="90"/>
    </xf>
    <xf numFmtId="0" fontId="45" fillId="18" borderId="0" xfId="3" applyFont="1" applyFill="1" applyBorder="1" applyAlignment="1" applyProtection="1">
      <alignment vertical="center" textRotation="90"/>
    </xf>
    <xf numFmtId="0" fontId="45" fillId="18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167" fontId="38" fillId="12" borderId="22" xfId="3" applyNumberFormat="1" applyFont="1" applyFill="1" applyBorder="1" applyAlignment="1" applyProtection="1">
      <alignment horizontal="center"/>
    </xf>
    <xf numFmtId="0" fontId="17" fillId="0" borderId="90" xfId="3" applyFont="1" applyFill="1" applyBorder="1" applyProtection="1">
      <protection locked="0"/>
    </xf>
    <xf numFmtId="0" fontId="1" fillId="0" borderId="0" xfId="5" applyAlignment="1"/>
    <xf numFmtId="9" fontId="0" fillId="19" borderId="64" xfId="4" applyNumberFormat="1" applyFont="1" applyFill="1" applyBorder="1" applyAlignment="1" applyProtection="1">
      <alignment horizontal="right" vertical="center"/>
      <protection locked="0"/>
    </xf>
    <xf numFmtId="9" fontId="0" fillId="19" borderId="52" xfId="4" applyNumberFormat="1" applyFont="1" applyFill="1" applyBorder="1" applyAlignment="1" applyProtection="1">
      <alignment horizontal="right" vertical="center"/>
      <protection locked="0"/>
    </xf>
    <xf numFmtId="9" fontId="0" fillId="19" borderId="66" xfId="4" applyNumberFormat="1" applyFont="1" applyFill="1" applyBorder="1" applyAlignment="1" applyProtection="1">
      <alignment horizontal="right" vertical="center"/>
      <protection locked="0"/>
    </xf>
    <xf numFmtId="9" fontId="0" fillId="19" borderId="65" xfId="4" applyNumberFormat="1" applyFont="1" applyFill="1" applyBorder="1" applyAlignment="1" applyProtection="1">
      <alignment horizontal="right" vertical="center"/>
      <protection locked="0"/>
    </xf>
    <xf numFmtId="0" fontId="48" fillId="20" borderId="64" xfId="3" applyFont="1" applyFill="1" applyBorder="1" applyAlignment="1" applyProtection="1">
      <alignment horizontal="center" vertical="center"/>
    </xf>
    <xf numFmtId="0" fontId="48" fillId="21" borderId="65" xfId="3" applyFont="1" applyFill="1" applyBorder="1" applyAlignment="1" applyProtection="1">
      <alignment horizontal="center" vertical="center"/>
    </xf>
    <xf numFmtId="0" fontId="38" fillId="22" borderId="64" xfId="3" applyFont="1" applyFill="1" applyBorder="1" applyAlignment="1" applyProtection="1">
      <alignment horizontal="center" vertical="center"/>
    </xf>
    <xf numFmtId="0" fontId="38" fillId="13" borderId="52" xfId="3" applyFont="1" applyFill="1" applyBorder="1" applyAlignment="1" applyProtection="1">
      <alignment horizontal="center" vertical="center"/>
    </xf>
    <xf numFmtId="0" fontId="38" fillId="13" borderId="65" xfId="3" applyFont="1" applyFill="1" applyBorder="1" applyAlignment="1" applyProtection="1">
      <alignment horizontal="center" vertical="center"/>
    </xf>
    <xf numFmtId="0" fontId="38" fillId="15" borderId="64" xfId="3" applyFont="1" applyFill="1" applyBorder="1" applyAlignment="1" applyProtection="1">
      <alignment horizontal="center" vertical="center"/>
    </xf>
    <xf numFmtId="0" fontId="38" fillId="23" borderId="65" xfId="3" applyFont="1" applyFill="1" applyBorder="1" applyAlignment="1" applyProtection="1">
      <alignment horizontal="center" vertical="center"/>
    </xf>
    <xf numFmtId="0" fontId="1" fillId="0" borderId="0" xfId="3" applyFont="1" applyProtection="1">
      <protection locked="0"/>
    </xf>
    <xf numFmtId="0" fontId="45" fillId="18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5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8" borderId="0" xfId="3" applyFont="1" applyFill="1" applyBorder="1" applyAlignment="1" applyProtection="1">
      <alignment horizontal="center" vertical="center"/>
    </xf>
    <xf numFmtId="0" fontId="51" fillId="18" borderId="0" xfId="3" applyFont="1" applyFill="1" applyBorder="1" applyAlignment="1" applyProtection="1">
      <alignment horizontal="center" vertical="center"/>
    </xf>
    <xf numFmtId="0" fontId="52" fillId="18" borderId="0" xfId="3" applyFont="1" applyFill="1" applyBorder="1" applyAlignment="1" applyProtection="1">
      <alignment horizontal="center" vertical="center"/>
    </xf>
    <xf numFmtId="0" fontId="52" fillId="18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8" borderId="83" xfId="3" applyFill="1" applyBorder="1" applyProtection="1"/>
    <xf numFmtId="0" fontId="53" fillId="18" borderId="83" xfId="3" applyFont="1" applyFill="1" applyBorder="1" applyAlignment="1" applyProtection="1">
      <alignment horizontal="center" vertical="center"/>
    </xf>
    <xf numFmtId="0" fontId="40" fillId="18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6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63" xfId="0" applyFont="1" applyFill="1" applyBorder="1" applyAlignment="1">
      <alignment horizontal="center" vertical="center" textRotation="180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0" fontId="5" fillId="11" borderId="65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167" fontId="37" fillId="24" borderId="93" xfId="3" applyNumberFormat="1" applyFont="1" applyFill="1" applyBorder="1" applyAlignment="1" applyProtection="1">
      <alignment horizontal="center" vertical="center"/>
    </xf>
    <xf numFmtId="167" fontId="37" fillId="24" borderId="63" xfId="3" applyNumberFormat="1" applyFont="1" applyFill="1" applyBorder="1" applyAlignment="1" applyProtection="1">
      <alignment horizontal="center" vertical="center"/>
    </xf>
    <xf numFmtId="167" fontId="37" fillId="24" borderId="64" xfId="3" applyNumberFormat="1" applyFont="1" applyFill="1" applyBorder="1" applyAlignment="1" applyProtection="1">
      <alignment horizontal="center" vertical="center"/>
    </xf>
    <xf numFmtId="0" fontId="55" fillId="25" borderId="84" xfId="3" applyFont="1" applyFill="1" applyBorder="1" applyAlignment="1" applyProtection="1">
      <alignment horizontal="left" vertical="top" wrapText="1"/>
    </xf>
    <xf numFmtId="0" fontId="55" fillId="25" borderId="83" xfId="3" applyFont="1" applyFill="1" applyBorder="1" applyAlignment="1" applyProtection="1">
      <alignment horizontal="left" vertical="top" wrapText="1"/>
    </xf>
    <xf numFmtId="0" fontId="55" fillId="25" borderId="81" xfId="3" applyFont="1" applyFill="1" applyBorder="1" applyAlignment="1" applyProtection="1">
      <alignment horizontal="left" vertical="top" wrapText="1"/>
    </xf>
    <xf numFmtId="0" fontId="55" fillId="25" borderId="0" xfId="3" applyFont="1" applyFill="1" applyBorder="1" applyAlignment="1" applyProtection="1">
      <alignment horizontal="left" vertical="top" wrapText="1"/>
    </xf>
    <xf numFmtId="0" fontId="21" fillId="25" borderId="83" xfId="3" applyFont="1" applyFill="1" applyBorder="1" applyAlignment="1" applyProtection="1">
      <alignment horizontal="right" vertical="center"/>
    </xf>
    <xf numFmtId="0" fontId="21" fillId="25" borderId="82" xfId="3" applyFont="1" applyFill="1" applyBorder="1" applyAlignment="1" applyProtection="1">
      <alignment horizontal="right" vertical="center"/>
    </xf>
    <xf numFmtId="0" fontId="21" fillId="25" borderId="0" xfId="3" applyFont="1" applyFill="1" applyBorder="1" applyAlignment="1" applyProtection="1">
      <alignment horizontal="right" vertical="center"/>
    </xf>
    <xf numFmtId="0" fontId="21" fillId="25" borderId="80" xfId="3" applyFont="1" applyFill="1" applyBorder="1" applyAlignment="1" applyProtection="1">
      <alignment horizontal="right" vertical="center"/>
    </xf>
    <xf numFmtId="168" fontId="54" fillId="18" borderId="84" xfId="3" applyNumberFormat="1" applyFont="1" applyFill="1" applyBorder="1" applyAlignment="1" applyProtection="1">
      <alignment horizontal="center" vertical="center"/>
    </xf>
    <xf numFmtId="168" fontId="54" fillId="18" borderId="83" xfId="3" applyNumberFormat="1" applyFont="1" applyFill="1" applyBorder="1" applyAlignment="1" applyProtection="1">
      <alignment horizontal="center" vertical="center"/>
    </xf>
    <xf numFmtId="168" fontId="54" fillId="18" borderId="82" xfId="3" applyNumberFormat="1" applyFont="1" applyFill="1" applyBorder="1" applyAlignment="1" applyProtection="1">
      <alignment horizontal="center" vertical="center"/>
    </xf>
    <xf numFmtId="168" fontId="54" fillId="18" borderId="81" xfId="3" applyNumberFormat="1" applyFont="1" applyFill="1" applyBorder="1" applyAlignment="1" applyProtection="1">
      <alignment horizontal="center" vertical="center"/>
    </xf>
    <xf numFmtId="168" fontId="54" fillId="18" borderId="0" xfId="3" applyNumberFormat="1" applyFont="1" applyFill="1" applyBorder="1" applyAlignment="1" applyProtection="1">
      <alignment horizontal="center" vertical="center"/>
    </xf>
    <xf numFmtId="168" fontId="54" fillId="18" borderId="80" xfId="3" applyNumberFormat="1" applyFont="1" applyFill="1" applyBorder="1" applyAlignment="1" applyProtection="1">
      <alignment horizontal="center" vertical="center"/>
    </xf>
    <xf numFmtId="168" fontId="54" fillId="18" borderId="79" xfId="3" applyNumberFormat="1" applyFont="1" applyFill="1" applyBorder="1" applyAlignment="1" applyProtection="1">
      <alignment horizontal="center" vertical="center"/>
    </xf>
    <xf numFmtId="168" fontId="54" fillId="18" borderId="78" xfId="3" applyNumberFormat="1" applyFont="1" applyFill="1" applyBorder="1" applyAlignment="1" applyProtection="1">
      <alignment horizontal="center" vertical="center"/>
    </xf>
    <xf numFmtId="168" fontId="54" fillId="18" borderId="77" xfId="3" applyNumberFormat="1" applyFont="1" applyFill="1" applyBorder="1" applyAlignment="1" applyProtection="1">
      <alignment horizontal="center" vertical="center"/>
    </xf>
    <xf numFmtId="0" fontId="55" fillId="25" borderId="81" xfId="3" applyFont="1" applyFill="1" applyBorder="1" applyAlignment="1" applyProtection="1">
      <alignment horizontal="left" vertical="center"/>
    </xf>
    <xf numFmtId="0" fontId="55" fillId="25" borderId="0" xfId="3" applyFont="1" applyFill="1" applyBorder="1" applyAlignment="1" applyProtection="1">
      <alignment horizontal="left" vertical="center"/>
    </xf>
    <xf numFmtId="0" fontId="47" fillId="16" borderId="94" xfId="2" applyFont="1" applyFill="1" applyBorder="1" applyAlignment="1" applyProtection="1">
      <alignment horizontal="center" vertical="center"/>
      <protection locked="0"/>
    </xf>
    <xf numFmtId="0" fontId="47" fillId="16" borderId="92" xfId="2" applyFont="1" applyFill="1" applyBorder="1" applyAlignment="1" applyProtection="1">
      <alignment horizontal="center" vertical="center"/>
      <protection locked="0"/>
    </xf>
    <xf numFmtId="0" fontId="47" fillId="16" borderId="91" xfId="2" applyFont="1" applyFill="1" applyBorder="1" applyAlignment="1" applyProtection="1">
      <alignment horizontal="center" vertical="center"/>
      <protection locked="0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8" borderId="0" xfId="3" applyFont="1" applyFill="1" applyBorder="1" applyAlignment="1" applyProtection="1">
      <alignment horizontal="left" vertical="center" textRotation="90"/>
    </xf>
    <xf numFmtId="0" fontId="45" fillId="18" borderId="0" xfId="3" applyFont="1" applyFill="1" applyBorder="1" applyAlignment="1" applyProtection="1">
      <alignment horizontal="right" vertical="center" textRotation="90"/>
    </xf>
    <xf numFmtId="0" fontId="45" fillId="18" borderId="0" xfId="3" applyFont="1" applyFill="1" applyBorder="1" applyAlignment="1" applyProtection="1">
      <alignment horizontal="center" vertical="center" textRotation="90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31">
    <dxf>
      <numFmt numFmtId="19" formatCode="m/d/yyyy"/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120</c:v>
                </c:pt>
                <c:pt idx="1">
                  <c:v>235</c:v>
                </c:pt>
                <c:pt idx="2">
                  <c:v>220</c:v>
                </c:pt>
                <c:pt idx="3">
                  <c:v>120</c:v>
                </c:pt>
                <c:pt idx="4">
                  <c:v>200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109</c:v>
                </c:pt>
                <c:pt idx="9">
                  <c:v>141</c:v>
                </c:pt>
                <c:pt idx="10">
                  <c:v>100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'OEE con Factores de Pérdida 100'!$AB$32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'OEE con Factores de Pérdida 100'!$AE$32:$BJ$32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0.14678240740740742</c:v>
                </c:pt>
                <c:pt idx="31">
                  <c:v>0.14678240740740742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'OEE con Factores de Pérdida 100'!$AB$33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'OEE con Factores de Pérdida 100'!$AE$33:$BJ$33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7.5505981645362166E-3</c:v>
                </c:pt>
                <c:pt idx="31">
                  <c:v>7.5505981645362166E-3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'OEE con Factores de Pérdida 100'!$AB$34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'OEE con Factores de Pérdida 100'!$AE$34:$BJ$34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0.15101196329072433</c:v>
                </c:pt>
                <c:pt idx="31">
                  <c:v>0.15101196329072433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'OEE con Factores de Pérdida 100'!$AB$35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'OEE con Factores de Pérdida 100'!$AE$35:$BJ$35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0.38004677428165623</c:v>
                </c:pt>
                <c:pt idx="31">
                  <c:v>0.38004677428165623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'OEE con Factores de Pérdida 100'!$AB$36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'OEE con Factores de Pérdida 100'!$AE$36:$BJ$36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0.31460825685567573</c:v>
                </c:pt>
                <c:pt idx="31">
                  <c:v>0.31460825685567573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'OEE con Factores de Pérdida 100'!$AB$37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'OEE con Factores de Pérdida 100'!$AE$37:$BJ$37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'OEE con Factores de Pérdida 100'!$AB$38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'OEE con Factores de Pérdida 100'!$AE$31:$BJ$31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'OEE con Factores de Pérdida 100'!$AE$38:$BJ$38</c:f>
              <c:numCache>
                <c:formatCode>0%</c:formatCode>
                <c:ptCount val="3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'OEE con Factores de Pérdida 100'!$AB$42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'OEE con Factores de Pérdida 100'!$AE$42:$AS$42</c:f>
              <c:numCache>
                <c:formatCode>0%</c:formatCode>
                <c:ptCount val="15"/>
                <c:pt idx="0">
                  <c:v>0.59499999999999997</c:v>
                </c:pt>
                <c:pt idx="4">
                  <c:v>0.40799999999999997</c:v>
                </c:pt>
                <c:pt idx="5">
                  <c:v>0.45500000000000002</c:v>
                </c:pt>
                <c:pt idx="6">
                  <c:v>0.54700000000000004</c:v>
                </c:pt>
                <c:pt idx="7">
                  <c:v>0.58074074074074056</c:v>
                </c:pt>
                <c:pt idx="8">
                  <c:v>0.52928571428571447</c:v>
                </c:pt>
                <c:pt idx="9">
                  <c:v>0.55809523809523809</c:v>
                </c:pt>
                <c:pt idx="10">
                  <c:v>0.14678240740740742</c:v>
                </c:pt>
                <c:pt idx="13">
                  <c:v>0.4607005857898715</c:v>
                </c:pt>
                <c:pt idx="14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'OEE con Factores de Pérdida 100'!$AB$43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'OEE con Factores de Pérdida 100'!$AE$43:$AS$43</c:f>
              <c:numCache>
                <c:formatCode>0%</c:formatCode>
                <c:ptCount val="15"/>
                <c:pt idx="0">
                  <c:v>0.10100000000000001</c:v>
                </c:pt>
                <c:pt idx="4">
                  <c:v>0.25</c:v>
                </c:pt>
                <c:pt idx="5">
                  <c:v>0.2</c:v>
                </c:pt>
                <c:pt idx="6">
                  <c:v>0</c:v>
                </c:pt>
                <c:pt idx="7">
                  <c:v>2.5090909090909094E-2</c:v>
                </c:pt>
                <c:pt idx="8">
                  <c:v>2.4321428571428574E-2</c:v>
                </c:pt>
                <c:pt idx="9">
                  <c:v>9.7500000000000035E-3</c:v>
                </c:pt>
                <c:pt idx="10">
                  <c:v>7.5505981645362166E-3</c:v>
                </c:pt>
                <c:pt idx="13">
                  <c:v>8.6118822637812301E-2</c:v>
                </c:pt>
                <c:pt idx="1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'OEE con Factores de Pérdida 100'!$AB$44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'OEE con Factores de Pérdida 100'!$AE$44:$AS$44</c:f>
              <c:numCache>
                <c:formatCode>0%</c:formatCode>
                <c:ptCount val="15"/>
                <c:pt idx="0">
                  <c:v>0.21299999999999999</c:v>
                </c:pt>
                <c:pt idx="4">
                  <c:v>0.08</c:v>
                </c:pt>
                <c:pt idx="5">
                  <c:v>0.25</c:v>
                </c:pt>
                <c:pt idx="6">
                  <c:v>0.14000000000000001</c:v>
                </c:pt>
                <c:pt idx="7">
                  <c:v>0.11711111111111111</c:v>
                </c:pt>
                <c:pt idx="8">
                  <c:v>0.10682142857142861</c:v>
                </c:pt>
                <c:pt idx="9">
                  <c:v>0.11825000000000001</c:v>
                </c:pt>
                <c:pt idx="10">
                  <c:v>0.15101196329072433</c:v>
                </c:pt>
                <c:pt idx="13">
                  <c:v>0.13759921471046629</c:v>
                </c:pt>
                <c:pt idx="1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'OEE con Factores de Pérdida 100'!$AB$45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'OEE con Factores de Pérdida 100'!$AE$45:$AS$45</c:f>
              <c:numCache>
                <c:formatCode>0%</c:formatCode>
                <c:ptCount val="15"/>
                <c:pt idx="0">
                  <c:v>3.5999999999999997E-2</c:v>
                </c:pt>
                <c:pt idx="4">
                  <c:v>0.12</c:v>
                </c:pt>
                <c:pt idx="5">
                  <c:v>0.03</c:v>
                </c:pt>
                <c:pt idx="6">
                  <c:v>0.19600000000000001</c:v>
                </c:pt>
                <c:pt idx="7">
                  <c:v>0.22615384615384615</c:v>
                </c:pt>
                <c:pt idx="8">
                  <c:v>0.27374999999999999</c:v>
                </c:pt>
                <c:pt idx="9">
                  <c:v>0.23333333333333331</c:v>
                </c:pt>
                <c:pt idx="10">
                  <c:v>0.38004677428165623</c:v>
                </c:pt>
                <c:pt idx="13">
                  <c:v>0.20846913625269084</c:v>
                </c:pt>
                <c:pt idx="1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'OEE con Factores de Pérdida 100'!$AB$46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'OEE con Factores de Pérdida 100'!$AE$46:$AS$46</c:f>
              <c:numCache>
                <c:formatCode>0%</c:formatCode>
                <c:ptCount val="15"/>
                <c:pt idx="0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0.11700000000000001</c:v>
                </c:pt>
                <c:pt idx="7">
                  <c:v>8.977272727272731E-2</c:v>
                </c:pt>
                <c:pt idx="8">
                  <c:v>7.0769230769230793E-2</c:v>
                </c:pt>
                <c:pt idx="9">
                  <c:v>8.7500000000000008E-2</c:v>
                </c:pt>
                <c:pt idx="10">
                  <c:v>0.31460825685567573</c:v>
                </c:pt>
                <c:pt idx="13">
                  <c:v>0.10137860212823339</c:v>
                </c:pt>
                <c:pt idx="1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'OEE con Factores de Pérdida 100'!$AB$47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'OEE con Factores de Pérdida 100'!$AE$47:$AS$47</c:f>
              <c:numCache>
                <c:formatCode>0%</c:formatCode>
                <c:ptCount val="15"/>
                <c:pt idx="0">
                  <c:v>4.9000000000000002E-2</c:v>
                </c:pt>
                <c:pt idx="4">
                  <c:v>0.13200000000000001</c:v>
                </c:pt>
                <c:pt idx="5">
                  <c:v>4.4999999999999998E-2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8.8499999999999995E-2</c:v>
                </c:pt>
                <c:pt idx="1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'OEE con Factores de Pérdida 100'!$AB$48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'OEE con Factores de Pérdida 100'!$AG$43:$AU$44</c:f>
              <c:multiLvlStrCache>
                <c:ptCount val="13"/>
                <c:lvl>
                  <c:pt idx="2">
                    <c:v>8%</c:v>
                  </c:pt>
                  <c:pt idx="3">
                    <c:v>25%</c:v>
                  </c:pt>
                  <c:pt idx="4">
                    <c:v>14%</c:v>
                  </c:pt>
                  <c:pt idx="5">
                    <c:v>12%</c:v>
                  </c:pt>
                  <c:pt idx="6">
                    <c:v>11%</c:v>
                  </c:pt>
                  <c:pt idx="7">
                    <c:v>12%</c:v>
                  </c:pt>
                  <c:pt idx="8">
                    <c:v>15%</c:v>
                  </c:pt>
                  <c:pt idx="11">
                    <c:v>14%</c:v>
                  </c:pt>
                  <c:pt idx="12">
                    <c:v>8%</c:v>
                  </c:pt>
                </c:lvl>
                <c:lvl>
                  <c:pt idx="2">
                    <c:v>25%</c:v>
                  </c:pt>
                  <c:pt idx="3">
                    <c:v>20%</c:v>
                  </c:pt>
                  <c:pt idx="4">
                    <c:v>0%</c:v>
                  </c:pt>
                  <c:pt idx="5">
                    <c:v>3%</c:v>
                  </c:pt>
                  <c:pt idx="6">
                    <c:v>2%</c:v>
                  </c:pt>
                  <c:pt idx="7">
                    <c:v>1%</c:v>
                  </c:pt>
                  <c:pt idx="8">
                    <c:v>1%</c:v>
                  </c:pt>
                  <c:pt idx="11">
                    <c:v>9%</c:v>
                  </c:pt>
                  <c:pt idx="12">
                    <c:v>5%</c:v>
                  </c:pt>
                </c:lvl>
              </c:multiLvlStrCache>
            </c:multiLvlStrRef>
          </c:cat>
          <c:val>
            <c:numRef>
              <c:f>'OEE con Factores de Pérdida 100'!$AE$48:$AS$48</c:f>
              <c:numCache>
                <c:formatCode>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0.45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0.68</c:v>
                </c:pt>
                <c:pt idx="10">
                  <c:v>0.85</c:v>
                </c:pt>
                <c:pt idx="11">
                  <c:v>0.72</c:v>
                </c:pt>
                <c:pt idx="12">
                  <c:v>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'OEE con Factores de Pérdida 100'!$AB$52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'OEE con Factores de Pérdida 100'!$AE$52:$AJ$52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0.14678240740740742</c:v>
                </c:pt>
                <c:pt idx="5">
                  <c:v>0.14678240740740742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'OEE con Factores de Pérdida 100'!$AB$53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'OEE con Factores de Pérdida 100'!$AE$53:$AJ$53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7.5505981645362166E-3</c:v>
                </c:pt>
                <c:pt idx="5">
                  <c:v>7.5505981645362166E-3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'OEE con Factores de Pérdida 100'!$AB$54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'OEE con Factores de Pérdida 100'!$AE$54:$AJ$54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0.15101196329072433</c:v>
                </c:pt>
                <c:pt idx="5">
                  <c:v>0.15101196329072433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'OEE con Factores de Pérdida 100'!$AB$55:$AC$55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'OEE con Factores de Pérdida 100'!$AE$55:$AJ$55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0.38004677428165623</c:v>
                </c:pt>
                <c:pt idx="5">
                  <c:v>0.38004677428165623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'OEE con Factores de Pérdida 100'!$AB$56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'OEE con Factores de Pérdida 100'!$AE$56:$AJ$56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0.31460825685567573</c:v>
                </c:pt>
                <c:pt idx="5">
                  <c:v>0.31460825685567573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'OEE con Factores de Pérdida 100'!$AB$57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'OEE con Factores de Pérdida 100'!$AE$51:$AJ$51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'OEE con Factores de Pérdida 100'!$AE$57:$AJ$57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'OEE con Factores de Pérdida 100'!$AB$58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'OEE con Factores de Pérdida 100'!$AE$51:$AJ$51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'OEE con Factores de Pérdida 100'!$AE$58:$AJ$58</c:f>
              <c:numCache>
                <c:formatCode>0%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chart" Target="../charts/chart5.xml"/><Relationship Id="rId2" Type="http://schemas.openxmlformats.org/officeDocument/2006/relationships/chart" Target="../charts/chart3.xml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306915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585259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ystemKPI.od" refreshOnLoad="1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Mes" tableColumnId="1"/>
      <queryTableField id="2" name="Dia" tableColumnId="2"/>
      <queryTableField id="3" name="OEE" tableColumnId="3"/>
      <queryTableField id="4" name="Calidad" tableColumnId="4"/>
      <queryTableField id="5" name="Organizacionales" tableColumnId="5"/>
      <queryTableField id="6" name="Tecnicas" tableColumnId="6"/>
      <queryTableField id="7" name="Cambios" tableColumnId="7"/>
      <queryTableField id="8" name="Desempeno" tableColumnId="8"/>
    </queryTableFields>
  </queryTableRefresh>
</queryTable>
</file>

<file path=xl/queryTables/queryTable2.xml><?xml version="1.0" encoding="utf-8"?>
<queryTable xmlns="http://schemas.openxmlformats.org/spreadsheetml/2006/main" name="SystemKPI HourlyCount.od" refreshOnLoad="1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SystemKPI.od" displayName="Table_SystemKPI.od" ref="B2:I32" tableType="queryTable" totalsRowShown="0">
  <autoFilter ref="B2:I32">
    <filterColumn colId="0">
      <filters>
        <filter val="10"/>
      </filters>
    </filterColumn>
  </autoFilter>
  <sortState ref="B3:I32">
    <sortCondition ref="C2:C5"/>
  </sortState>
  <tableColumns count="8">
    <tableColumn id="1" uniqueName="1" name="Mes" queryTableFieldId="1"/>
    <tableColumn id="2" uniqueName="2" name="Dia" queryTableFieldId="2"/>
    <tableColumn id="3" uniqueName="3" name="OEE" queryTableFieldId="3"/>
    <tableColumn id="4" uniqueName="4" name="Calidad" queryTableFieldId="4"/>
    <tableColumn id="5" uniqueName="5" name="Organizacionales" queryTableFieldId="5"/>
    <tableColumn id="6" uniqueName="6" name="Tecnicas" queryTableFieldId="6"/>
    <tableColumn id="7" uniqueName="7" name="Cambios" queryTableFieldId="7"/>
    <tableColumn id="8" uniqueName="8" name="Desempeno" queryTableField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_SystemKPI_HourlyCount.od" displayName="Table_SystemKPI_HourlyCount.od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07"/>
      <c r="C4" s="407"/>
      <c r="D4" s="407"/>
      <c r="E4" s="407"/>
      <c r="F4" s="407"/>
      <c r="G4" s="407"/>
      <c r="H4" s="407"/>
      <c r="I4" s="407"/>
      <c r="J4" s="407"/>
      <c r="K4" s="407"/>
      <c r="L4" s="407"/>
      <c r="M4" s="407"/>
      <c r="N4" s="407"/>
      <c r="O4" s="407"/>
      <c r="P4" s="407"/>
      <c r="Q4" s="407"/>
      <c r="R4" s="407"/>
      <c r="S4" s="407"/>
      <c r="T4" s="407"/>
      <c r="U4" s="407"/>
      <c r="V4" s="407"/>
      <c r="W4" s="407"/>
      <c r="X4" s="407"/>
      <c r="Y4" s="407"/>
      <c r="Z4" s="407"/>
      <c r="AA4" s="407"/>
      <c r="AB4" s="407"/>
      <c r="AC4" s="407"/>
      <c r="AD4" s="407"/>
      <c r="AE4" s="407"/>
      <c r="AF4" s="407"/>
      <c r="AG4" s="407"/>
      <c r="AH4" s="407"/>
      <c r="AI4" s="407"/>
      <c r="AJ4" s="407"/>
      <c r="AK4" s="407"/>
      <c r="AL4" s="407"/>
      <c r="AM4" s="407"/>
      <c r="AN4" s="407"/>
      <c r="AO4" s="407"/>
      <c r="AP4" s="407"/>
      <c r="AQ4" s="407"/>
      <c r="AR4" s="407"/>
      <c r="AS4" s="407"/>
    </row>
    <row r="5" spans="1:45" ht="18" customHeight="1" thickBot="1">
      <c r="B5" s="5"/>
      <c r="C5" s="408" t="s">
        <v>4</v>
      </c>
      <c r="D5" s="409"/>
      <c r="E5" s="410" t="s">
        <v>5</v>
      </c>
      <c r="F5" s="411"/>
      <c r="G5" s="410" t="s">
        <v>6</v>
      </c>
      <c r="H5" s="412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1"/>
      <c r="AH5" s="6" t="s">
        <v>7</v>
      </c>
      <c r="AI5" s="413" t="s">
        <v>8</v>
      </c>
      <c r="AJ5" s="414"/>
      <c r="AK5" s="413" t="s">
        <v>9</v>
      </c>
      <c r="AL5" s="415"/>
      <c r="AM5" s="415"/>
      <c r="AN5" s="416" t="s">
        <v>10</v>
      </c>
      <c r="AO5" s="417"/>
      <c r="AP5" s="417"/>
      <c r="AQ5" s="417"/>
      <c r="AR5" s="417"/>
      <c r="AS5" s="418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19">
        <v>10</v>
      </c>
      <c r="I6" s="419"/>
      <c r="J6" s="419">
        <v>20</v>
      </c>
      <c r="K6" s="419"/>
      <c r="L6" s="419">
        <v>30</v>
      </c>
      <c r="M6" s="419"/>
      <c r="N6" s="419">
        <v>40</v>
      </c>
      <c r="O6" s="419"/>
      <c r="P6" s="419">
        <v>50</v>
      </c>
      <c r="Q6" s="419"/>
      <c r="R6" s="419">
        <v>60</v>
      </c>
      <c r="S6" s="419"/>
      <c r="T6" s="419">
        <v>70</v>
      </c>
      <c r="U6" s="419"/>
      <c r="V6" s="419">
        <v>80</v>
      </c>
      <c r="W6" s="419"/>
      <c r="X6" s="419">
        <v>90</v>
      </c>
      <c r="Y6" s="419"/>
      <c r="Z6" s="419">
        <v>100</v>
      </c>
      <c r="AA6" s="419"/>
      <c r="AB6" s="419">
        <v>110</v>
      </c>
      <c r="AC6" s="419"/>
      <c r="AD6" s="419">
        <v>120</v>
      </c>
      <c r="AE6" s="419"/>
      <c r="AF6" s="419">
        <v>130</v>
      </c>
      <c r="AG6" s="422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23" t="s">
        <v>16</v>
      </c>
      <c r="AO6" s="424"/>
      <c r="AP6" s="16" t="s">
        <v>17</v>
      </c>
      <c r="AQ6" s="17" t="s">
        <v>16</v>
      </c>
      <c r="AR6" s="425" t="s">
        <v>17</v>
      </c>
      <c r="AS6" s="426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20"/>
      <c r="AS7" s="421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20"/>
      <c r="AS8" s="421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20"/>
      <c r="AS9" s="421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20"/>
      <c r="AS10" s="421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20"/>
      <c r="AS11" s="421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20"/>
      <c r="AS12" s="421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20"/>
      <c r="AS13" s="421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20"/>
      <c r="AS14" s="421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20"/>
      <c r="AS15" s="421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20"/>
      <c r="AS16" s="421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20"/>
      <c r="AS17" s="421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20"/>
      <c r="AS18" s="421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20"/>
      <c r="AS19" s="421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20"/>
      <c r="AS20" s="421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20"/>
      <c r="AS21" s="421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20"/>
      <c r="AS22" s="421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20"/>
      <c r="AS23" s="421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20"/>
      <c r="AS24" s="421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20"/>
      <c r="AS25" s="421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20"/>
      <c r="AS26" s="421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20"/>
      <c r="AS27" s="421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20"/>
      <c r="AS28" s="421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20"/>
      <c r="AS29" s="421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20"/>
      <c r="AS30" s="421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20"/>
      <c r="AS31" s="421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29"/>
      <c r="AS32" s="430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31" t="s">
        <v>46</v>
      </c>
      <c r="AI33" s="432"/>
      <c r="AJ33" s="432"/>
      <c r="AK33" s="84"/>
      <c r="AL33" s="84"/>
      <c r="AM33" s="435" t="s">
        <v>47</v>
      </c>
      <c r="AN33" s="432"/>
      <c r="AO33" s="85"/>
      <c r="AP33" s="85"/>
      <c r="AQ33" s="436" t="s">
        <v>48</v>
      </c>
      <c r="AR33" s="86"/>
      <c r="AS33" s="87"/>
    </row>
    <row r="34" spans="1:45" ht="18" customHeight="1" thickBot="1">
      <c r="B34" s="427" t="s">
        <v>49</v>
      </c>
      <c r="C34" s="428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33"/>
      <c r="AI34" s="434"/>
      <c r="AJ34" s="434"/>
      <c r="AK34" s="93"/>
      <c r="AL34" s="93"/>
      <c r="AM34" s="434"/>
      <c r="AN34" s="434"/>
      <c r="AO34" s="94"/>
      <c r="AP34" s="94"/>
      <c r="AQ34" s="437"/>
      <c r="AR34" s="95"/>
      <c r="AS34" s="96"/>
    </row>
    <row r="35" spans="1:45" s="4" customFormat="1" ht="3" customHeight="1">
      <c r="A35" s="1"/>
      <c r="B35" s="407"/>
      <c r="C35" s="407"/>
      <c r="D35" s="407"/>
      <c r="E35" s="407"/>
      <c r="F35" s="407"/>
      <c r="G35" s="407"/>
      <c r="H35" s="407"/>
      <c r="I35" s="407"/>
      <c r="J35" s="407"/>
      <c r="K35" s="407"/>
      <c r="L35" s="407"/>
      <c r="M35" s="407"/>
      <c r="N35" s="407"/>
      <c r="O35" s="407"/>
      <c r="P35" s="407"/>
      <c r="Q35" s="407"/>
      <c r="R35" s="407"/>
      <c r="S35" s="407"/>
      <c r="T35" s="407"/>
      <c r="U35" s="407"/>
      <c r="V35" s="407"/>
      <c r="W35" s="407"/>
      <c r="X35" s="407"/>
      <c r="Y35" s="407"/>
      <c r="Z35" s="407"/>
      <c r="AA35" s="407"/>
      <c r="AB35" s="407"/>
      <c r="AC35" s="407"/>
      <c r="AD35" s="407"/>
      <c r="AE35" s="407"/>
      <c r="AF35" s="407"/>
      <c r="AG35" s="407"/>
      <c r="AH35" s="407"/>
      <c r="AI35" s="407"/>
      <c r="AJ35" s="407"/>
      <c r="AK35" s="407"/>
      <c r="AL35" s="407"/>
      <c r="AM35" s="407"/>
      <c r="AN35" s="407"/>
      <c r="AO35" s="407"/>
      <c r="AP35" s="407"/>
      <c r="AQ35" s="407"/>
      <c r="AR35" s="407"/>
      <c r="AS35" s="407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B4:AS4"/>
    <mergeCell ref="C5:D5"/>
    <mergeCell ref="E5:F5"/>
    <mergeCell ref="G5:AG5"/>
    <mergeCell ref="AI5:AJ5"/>
    <mergeCell ref="AK5:AM5"/>
    <mergeCell ref="AN5:AS5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32"/>
  <sheetViews>
    <sheetView zoomScale="85" zoomScaleNormal="85" workbookViewId="0">
      <selection activeCell="I3" sqref="I3"/>
    </sheetView>
  </sheetViews>
  <sheetFormatPr defaultRowHeight="12.5"/>
  <cols>
    <col min="2" max="2" width="6.81640625" bestFit="1" customWidth="1"/>
    <col min="3" max="3" width="6.1796875" bestFit="1" customWidth="1"/>
    <col min="4" max="4" width="8.08984375" bestFit="1" customWidth="1"/>
    <col min="5" max="5" width="9.7265625" bestFit="1" customWidth="1"/>
    <col min="6" max="6" width="18.08984375" bestFit="1" customWidth="1"/>
    <col min="7" max="7" width="10.90625" bestFit="1" customWidth="1"/>
    <col min="8" max="8" width="10.81640625" bestFit="1" customWidth="1"/>
    <col min="9" max="9" width="13.36328125" bestFit="1" customWidth="1"/>
  </cols>
  <sheetData>
    <row r="2" spans="2:9">
      <c r="B2" t="s">
        <v>146</v>
      </c>
      <c r="C2" t="s">
        <v>147</v>
      </c>
      <c r="D2" t="s">
        <v>132</v>
      </c>
      <c r="E2" t="s">
        <v>148</v>
      </c>
      <c r="F2" t="s">
        <v>149</v>
      </c>
      <c r="G2" t="s">
        <v>150</v>
      </c>
      <c r="H2" t="s">
        <v>151</v>
      </c>
      <c r="I2" t="s">
        <v>152</v>
      </c>
    </row>
    <row r="3" spans="2:9">
      <c r="B3">
        <v>10</v>
      </c>
      <c r="C3">
        <v>1</v>
      </c>
      <c r="D3" t="s">
        <v>143</v>
      </c>
      <c r="E3" t="s">
        <v>143</v>
      </c>
      <c r="F3" t="s">
        <v>143</v>
      </c>
      <c r="G3" t="s">
        <v>143</v>
      </c>
      <c r="H3" t="s">
        <v>143</v>
      </c>
      <c r="I3" t="s">
        <v>143</v>
      </c>
    </row>
    <row r="4" spans="2:9">
      <c r="B4">
        <v>10</v>
      </c>
      <c r="C4">
        <v>2</v>
      </c>
      <c r="D4" t="s">
        <v>157</v>
      </c>
      <c r="E4" t="s">
        <v>158</v>
      </c>
      <c r="F4" t="s">
        <v>159</v>
      </c>
      <c r="G4" t="s">
        <v>160</v>
      </c>
      <c r="H4" t="s">
        <v>161</v>
      </c>
      <c r="I4" t="s">
        <v>143</v>
      </c>
    </row>
    <row r="5" spans="2:9">
      <c r="B5">
        <v>10</v>
      </c>
      <c r="C5">
        <v>3</v>
      </c>
      <c r="D5" t="s">
        <v>162</v>
      </c>
      <c r="E5" t="s">
        <v>143</v>
      </c>
      <c r="F5" t="s">
        <v>163</v>
      </c>
      <c r="G5" t="s">
        <v>164</v>
      </c>
      <c r="H5" t="s">
        <v>165</v>
      </c>
      <c r="I5" t="s">
        <v>143</v>
      </c>
    </row>
    <row r="6" spans="2:9">
      <c r="B6">
        <v>10</v>
      </c>
      <c r="C6">
        <v>4</v>
      </c>
      <c r="D6" t="s">
        <v>166</v>
      </c>
      <c r="E6" t="s">
        <v>167</v>
      </c>
      <c r="F6" t="s">
        <v>143</v>
      </c>
      <c r="G6" t="s">
        <v>168</v>
      </c>
      <c r="H6" t="s">
        <v>169</v>
      </c>
      <c r="I6" t="s">
        <v>143</v>
      </c>
    </row>
    <row r="7" spans="2:9">
      <c r="B7">
        <v>10</v>
      </c>
      <c r="C7">
        <v>5</v>
      </c>
      <c r="D7" t="s">
        <v>143</v>
      </c>
      <c r="E7" t="s">
        <v>143</v>
      </c>
      <c r="F7" t="s">
        <v>170</v>
      </c>
      <c r="G7" t="s">
        <v>171</v>
      </c>
      <c r="H7" t="s">
        <v>143</v>
      </c>
      <c r="I7" t="s">
        <v>143</v>
      </c>
    </row>
    <row r="8" spans="2:9">
      <c r="B8">
        <v>10</v>
      </c>
      <c r="C8">
        <v>7</v>
      </c>
      <c r="D8" t="s">
        <v>172</v>
      </c>
      <c r="E8" t="s">
        <v>143</v>
      </c>
      <c r="F8" t="s">
        <v>173</v>
      </c>
      <c r="G8" t="s">
        <v>174</v>
      </c>
      <c r="H8" t="s">
        <v>175</v>
      </c>
      <c r="I8" t="s">
        <v>143</v>
      </c>
    </row>
    <row r="9" spans="2:9">
      <c r="B9">
        <v>10</v>
      </c>
      <c r="C9">
        <v>8</v>
      </c>
      <c r="D9" t="s">
        <v>176</v>
      </c>
      <c r="E9" t="s">
        <v>177</v>
      </c>
      <c r="F9" t="s">
        <v>143</v>
      </c>
      <c r="G9" t="s">
        <v>178</v>
      </c>
      <c r="H9" t="s">
        <v>179</v>
      </c>
      <c r="I9" t="s">
        <v>143</v>
      </c>
    </row>
    <row r="10" spans="2:9">
      <c r="B10">
        <v>10</v>
      </c>
      <c r="C10">
        <v>9</v>
      </c>
      <c r="D10" t="s">
        <v>180</v>
      </c>
      <c r="E10" t="s">
        <v>181</v>
      </c>
      <c r="F10" t="s">
        <v>182</v>
      </c>
      <c r="G10" t="s">
        <v>183</v>
      </c>
      <c r="H10" t="s">
        <v>184</v>
      </c>
      <c r="I10" t="s">
        <v>143</v>
      </c>
    </row>
    <row r="11" spans="2:9">
      <c r="B11">
        <v>10</v>
      </c>
      <c r="C11">
        <v>10</v>
      </c>
      <c r="D11" t="s">
        <v>176</v>
      </c>
      <c r="E11" t="s">
        <v>185</v>
      </c>
      <c r="F11" t="s">
        <v>186</v>
      </c>
      <c r="G11" t="s">
        <v>187</v>
      </c>
      <c r="H11" t="s">
        <v>188</v>
      </c>
      <c r="I11" t="s">
        <v>143</v>
      </c>
    </row>
    <row r="12" spans="2:9">
      <c r="B12">
        <v>10</v>
      </c>
      <c r="C12">
        <v>11</v>
      </c>
      <c r="D12" t="s">
        <v>153</v>
      </c>
      <c r="E12" t="s">
        <v>143</v>
      </c>
      <c r="F12" t="s">
        <v>154</v>
      </c>
      <c r="G12" t="s">
        <v>155</v>
      </c>
      <c r="H12" t="s">
        <v>156</v>
      </c>
      <c r="I12" t="s">
        <v>143</v>
      </c>
    </row>
    <row r="13" spans="2:9">
      <c r="B13">
        <v>10</v>
      </c>
      <c r="C13">
        <v>12</v>
      </c>
      <c r="D13" t="s">
        <v>144</v>
      </c>
      <c r="E13" t="s">
        <v>141</v>
      </c>
      <c r="F13" t="s">
        <v>143</v>
      </c>
      <c r="G13" t="s">
        <v>145</v>
      </c>
      <c r="H13" t="s">
        <v>142</v>
      </c>
      <c r="I13" t="s">
        <v>143</v>
      </c>
    </row>
    <row r="14" spans="2:9">
      <c r="B14">
        <v>10</v>
      </c>
      <c r="C14">
        <v>13</v>
      </c>
      <c r="D14" t="s">
        <v>189</v>
      </c>
      <c r="E14" t="s">
        <v>143</v>
      </c>
      <c r="F14" t="s">
        <v>143</v>
      </c>
      <c r="G14" t="s">
        <v>190</v>
      </c>
      <c r="H14" t="s">
        <v>191</v>
      </c>
      <c r="I14" t="s">
        <v>143</v>
      </c>
    </row>
    <row r="15" spans="2:9">
      <c r="B15">
        <v>10</v>
      </c>
      <c r="C15">
        <v>14</v>
      </c>
      <c r="D15" t="s">
        <v>143</v>
      </c>
      <c r="E15" t="s">
        <v>143</v>
      </c>
      <c r="F15" t="s">
        <v>143</v>
      </c>
      <c r="G15" t="s">
        <v>143</v>
      </c>
      <c r="H15" t="s">
        <v>143</v>
      </c>
      <c r="I15" t="s">
        <v>143</v>
      </c>
    </row>
    <row r="16" spans="2:9">
      <c r="B16">
        <v>10</v>
      </c>
      <c r="C16">
        <v>15</v>
      </c>
      <c r="D16" t="s">
        <v>143</v>
      </c>
      <c r="E16" t="s">
        <v>143</v>
      </c>
      <c r="F16" t="s">
        <v>143</v>
      </c>
      <c r="G16" t="s">
        <v>143</v>
      </c>
      <c r="H16" t="s">
        <v>143</v>
      </c>
      <c r="I16" t="s">
        <v>143</v>
      </c>
    </row>
    <row r="17" spans="2:9">
      <c r="B17">
        <v>10</v>
      </c>
      <c r="C17">
        <v>16</v>
      </c>
      <c r="D17" t="s">
        <v>193</v>
      </c>
      <c r="E17" t="s">
        <v>143</v>
      </c>
      <c r="F17" t="s">
        <v>143</v>
      </c>
      <c r="G17" t="s">
        <v>194</v>
      </c>
      <c r="H17" t="s">
        <v>195</v>
      </c>
      <c r="I17" t="s">
        <v>143</v>
      </c>
    </row>
    <row r="18" spans="2:9">
      <c r="B18">
        <v>10</v>
      </c>
      <c r="C18">
        <v>17</v>
      </c>
      <c r="D18" t="s">
        <v>196</v>
      </c>
      <c r="E18" t="s">
        <v>197</v>
      </c>
      <c r="F18" t="s">
        <v>198</v>
      </c>
      <c r="G18" t="s">
        <v>199</v>
      </c>
      <c r="H18" t="s">
        <v>200</v>
      </c>
      <c r="I18" t="s">
        <v>143</v>
      </c>
    </row>
    <row r="19" spans="2:9" hidden="1">
      <c r="B19">
        <v>11</v>
      </c>
      <c r="C19">
        <v>18</v>
      </c>
      <c r="D19" t="s">
        <v>143</v>
      </c>
      <c r="E19" t="s">
        <v>143</v>
      </c>
      <c r="F19" t="s">
        <v>143</v>
      </c>
      <c r="G19" t="s">
        <v>143</v>
      </c>
      <c r="H19" t="s">
        <v>143</v>
      </c>
      <c r="I19" t="s">
        <v>143</v>
      </c>
    </row>
    <row r="20" spans="2:9">
      <c r="B20">
        <v>10</v>
      </c>
      <c r="C20">
        <v>19</v>
      </c>
      <c r="D20" t="s">
        <v>201</v>
      </c>
      <c r="E20" t="s">
        <v>143</v>
      </c>
      <c r="F20" t="s">
        <v>202</v>
      </c>
      <c r="G20" t="s">
        <v>203</v>
      </c>
      <c r="H20" t="s">
        <v>204</v>
      </c>
      <c r="I20" t="s">
        <v>143</v>
      </c>
    </row>
    <row r="21" spans="2:9">
      <c r="B21">
        <v>10</v>
      </c>
      <c r="C21">
        <v>20</v>
      </c>
      <c r="D21" t="s">
        <v>205</v>
      </c>
      <c r="E21" t="s">
        <v>206</v>
      </c>
      <c r="F21" t="s">
        <v>207</v>
      </c>
      <c r="G21" t="s">
        <v>208</v>
      </c>
      <c r="H21" t="s">
        <v>209</v>
      </c>
      <c r="I21" t="s">
        <v>143</v>
      </c>
    </row>
    <row r="22" spans="2:9">
      <c r="B22">
        <v>10</v>
      </c>
      <c r="C22">
        <v>21</v>
      </c>
      <c r="D22" t="s">
        <v>210</v>
      </c>
      <c r="E22" t="s">
        <v>143</v>
      </c>
      <c r="F22" t="s">
        <v>143</v>
      </c>
      <c r="G22" t="s">
        <v>143</v>
      </c>
      <c r="H22" t="s">
        <v>211</v>
      </c>
      <c r="I22" t="s">
        <v>143</v>
      </c>
    </row>
    <row r="23" spans="2:9">
      <c r="B23">
        <v>10</v>
      </c>
      <c r="C23">
        <v>22</v>
      </c>
      <c r="D23" t="s">
        <v>143</v>
      </c>
      <c r="E23" t="s">
        <v>143</v>
      </c>
      <c r="F23" t="s">
        <v>143</v>
      </c>
      <c r="G23" t="s">
        <v>143</v>
      </c>
      <c r="H23" t="s">
        <v>143</v>
      </c>
      <c r="I23" t="s">
        <v>143</v>
      </c>
    </row>
    <row r="24" spans="2:9">
      <c r="B24">
        <v>10</v>
      </c>
      <c r="C24">
        <v>23</v>
      </c>
      <c r="D24" t="s">
        <v>212</v>
      </c>
      <c r="E24" t="s">
        <v>143</v>
      </c>
      <c r="F24" t="s">
        <v>213</v>
      </c>
      <c r="G24" t="s">
        <v>214</v>
      </c>
      <c r="H24" t="s">
        <v>215</v>
      </c>
      <c r="I24" t="s">
        <v>143</v>
      </c>
    </row>
    <row r="25" spans="2:9">
      <c r="B25">
        <v>10</v>
      </c>
      <c r="C25">
        <v>24</v>
      </c>
      <c r="D25" t="s">
        <v>216</v>
      </c>
      <c r="E25" t="s">
        <v>217</v>
      </c>
      <c r="F25" t="s">
        <v>218</v>
      </c>
      <c r="G25" t="s">
        <v>219</v>
      </c>
      <c r="H25" t="s">
        <v>220</v>
      </c>
      <c r="I25" t="s">
        <v>143</v>
      </c>
    </row>
    <row r="26" spans="2:9">
      <c r="B26">
        <v>10</v>
      </c>
      <c r="C26">
        <v>25</v>
      </c>
      <c r="D26" t="s">
        <v>221</v>
      </c>
      <c r="E26" t="s">
        <v>177</v>
      </c>
      <c r="F26" t="s">
        <v>222</v>
      </c>
      <c r="G26" t="s">
        <v>223</v>
      </c>
      <c r="H26" t="s">
        <v>224</v>
      </c>
      <c r="I26" t="s">
        <v>143</v>
      </c>
    </row>
    <row r="27" spans="2:9">
      <c r="B27">
        <v>10</v>
      </c>
      <c r="C27">
        <v>26</v>
      </c>
      <c r="D27" t="s">
        <v>225</v>
      </c>
      <c r="E27" t="s">
        <v>226</v>
      </c>
      <c r="F27" t="s">
        <v>143</v>
      </c>
      <c r="G27" t="s">
        <v>227</v>
      </c>
      <c r="H27" t="s">
        <v>228</v>
      </c>
      <c r="I27" t="s">
        <v>143</v>
      </c>
    </row>
    <row r="28" spans="2:9">
      <c r="B28">
        <v>10</v>
      </c>
      <c r="C28">
        <v>27</v>
      </c>
      <c r="D28" t="s">
        <v>229</v>
      </c>
      <c r="E28" t="s">
        <v>167</v>
      </c>
      <c r="F28" t="s">
        <v>230</v>
      </c>
      <c r="G28" t="s">
        <v>231</v>
      </c>
      <c r="H28" t="s">
        <v>232</v>
      </c>
      <c r="I28" t="s">
        <v>143</v>
      </c>
    </row>
    <row r="29" spans="2:9">
      <c r="B29">
        <v>10</v>
      </c>
      <c r="C29">
        <v>28</v>
      </c>
      <c r="D29" t="s">
        <v>143</v>
      </c>
      <c r="E29" t="s">
        <v>143</v>
      </c>
      <c r="F29" t="s">
        <v>143</v>
      </c>
      <c r="G29" t="s">
        <v>143</v>
      </c>
      <c r="H29" t="s">
        <v>143</v>
      </c>
      <c r="I29" t="s">
        <v>143</v>
      </c>
    </row>
    <row r="30" spans="2:9">
      <c r="B30">
        <v>10</v>
      </c>
      <c r="C30">
        <v>29</v>
      </c>
      <c r="D30" t="s">
        <v>143</v>
      </c>
      <c r="E30" t="s">
        <v>143</v>
      </c>
      <c r="F30" t="s">
        <v>143</v>
      </c>
      <c r="G30" t="s">
        <v>143</v>
      </c>
      <c r="H30" t="s">
        <v>143</v>
      </c>
      <c r="I30" t="s">
        <v>143</v>
      </c>
    </row>
    <row r="31" spans="2:9">
      <c r="B31">
        <v>10</v>
      </c>
      <c r="C31">
        <v>30</v>
      </c>
      <c r="D31" t="s">
        <v>225</v>
      </c>
      <c r="E31" t="s">
        <v>244</v>
      </c>
      <c r="F31" t="s">
        <v>143</v>
      </c>
      <c r="G31" t="s">
        <v>245</v>
      </c>
      <c r="H31" t="s">
        <v>246</v>
      </c>
      <c r="I31" t="s">
        <v>143</v>
      </c>
    </row>
    <row r="32" spans="2:9">
      <c r="B32">
        <v>10</v>
      </c>
      <c r="C32">
        <v>31</v>
      </c>
      <c r="D32" t="s">
        <v>263</v>
      </c>
      <c r="E32" t="s">
        <v>264</v>
      </c>
      <c r="F32" t="s">
        <v>265</v>
      </c>
      <c r="G32" t="s">
        <v>266</v>
      </c>
      <c r="H32" t="s">
        <v>267</v>
      </c>
      <c r="I32" t="s">
        <v>143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zoomScale="60" zoomScaleNormal="60" workbookViewId="0"/>
  </sheetViews>
  <sheetFormatPr defaultRowHeight="12.5"/>
  <cols>
    <col min="2" max="2" width="10.363281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73.90625" bestFit="1" customWidth="1"/>
    <col min="14" max="14" width="14.6328125" bestFit="1" customWidth="1"/>
    <col min="15" max="15" width="56.26953125" bestFit="1" customWidth="1"/>
  </cols>
  <sheetData>
    <row r="2" spans="2:15">
      <c r="B2" t="s">
        <v>82</v>
      </c>
      <c r="C2" t="s">
        <v>83</v>
      </c>
      <c r="D2" t="s">
        <v>84</v>
      </c>
      <c r="E2" t="s">
        <v>85</v>
      </c>
      <c r="F2" t="s">
        <v>86</v>
      </c>
      <c r="G2" t="s">
        <v>15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92</v>
      </c>
      <c r="N2" t="s">
        <v>93</v>
      </c>
      <c r="O2" t="s">
        <v>94</v>
      </c>
    </row>
    <row r="3" spans="2:15">
      <c r="B3" s="291">
        <v>43039</v>
      </c>
      <c r="C3" t="s">
        <v>138</v>
      </c>
      <c r="D3">
        <v>0</v>
      </c>
      <c r="E3" t="s">
        <v>139</v>
      </c>
      <c r="F3" t="s">
        <v>192</v>
      </c>
      <c r="G3" t="s">
        <v>139</v>
      </c>
      <c r="H3">
        <v>0</v>
      </c>
      <c r="I3">
        <v>0</v>
      </c>
      <c r="J3">
        <v>0</v>
      </c>
      <c r="K3">
        <v>0</v>
      </c>
      <c r="L3" t="s">
        <v>140</v>
      </c>
      <c r="M3" t="s">
        <v>140</v>
      </c>
      <c r="N3" t="s">
        <v>140</v>
      </c>
      <c r="O3" t="s">
        <v>140</v>
      </c>
    </row>
    <row r="4" spans="2:15">
      <c r="B4" s="291">
        <v>43039</v>
      </c>
      <c r="C4" t="s">
        <v>138</v>
      </c>
      <c r="D4">
        <v>1</v>
      </c>
      <c r="E4" t="s">
        <v>139</v>
      </c>
      <c r="F4" t="s">
        <v>192</v>
      </c>
      <c r="G4" t="s">
        <v>139</v>
      </c>
      <c r="H4">
        <v>0</v>
      </c>
      <c r="I4">
        <v>0</v>
      </c>
      <c r="J4">
        <v>0</v>
      </c>
      <c r="K4">
        <v>0</v>
      </c>
      <c r="L4" t="s">
        <v>140</v>
      </c>
      <c r="M4" t="s">
        <v>140</v>
      </c>
      <c r="N4" t="s">
        <v>140</v>
      </c>
      <c r="O4" t="s">
        <v>140</v>
      </c>
    </row>
    <row r="5" spans="2:15">
      <c r="B5" s="291">
        <v>43039</v>
      </c>
      <c r="C5" t="s">
        <v>138</v>
      </c>
      <c r="D5">
        <v>2</v>
      </c>
      <c r="E5" t="s">
        <v>139</v>
      </c>
      <c r="F5" t="s">
        <v>192</v>
      </c>
      <c r="G5" t="s">
        <v>139</v>
      </c>
      <c r="H5">
        <v>0</v>
      </c>
      <c r="I5">
        <v>0</v>
      </c>
      <c r="J5">
        <v>0</v>
      </c>
      <c r="K5">
        <v>0</v>
      </c>
      <c r="L5" t="s">
        <v>140</v>
      </c>
      <c r="M5" t="s">
        <v>140</v>
      </c>
      <c r="N5" t="s">
        <v>140</v>
      </c>
      <c r="O5" t="s">
        <v>140</v>
      </c>
    </row>
    <row r="6" spans="2:15">
      <c r="B6" s="291">
        <v>43039</v>
      </c>
      <c r="C6" t="s">
        <v>138</v>
      </c>
      <c r="D6">
        <v>3</v>
      </c>
      <c r="E6" t="s">
        <v>139</v>
      </c>
      <c r="F6" t="s">
        <v>192</v>
      </c>
      <c r="G6" t="s">
        <v>139</v>
      </c>
      <c r="H6">
        <v>0</v>
      </c>
      <c r="I6">
        <v>0</v>
      </c>
      <c r="J6">
        <v>0</v>
      </c>
      <c r="K6">
        <v>0</v>
      </c>
      <c r="L6" t="s">
        <v>140</v>
      </c>
      <c r="M6" t="s">
        <v>140</v>
      </c>
      <c r="N6" t="s">
        <v>140</v>
      </c>
      <c r="O6" t="s">
        <v>140</v>
      </c>
    </row>
    <row r="7" spans="2:15">
      <c r="B7" s="291">
        <v>43039</v>
      </c>
      <c r="C7" t="s">
        <v>138</v>
      </c>
      <c r="D7">
        <v>4</v>
      </c>
      <c r="E7" t="s">
        <v>139</v>
      </c>
      <c r="F7" t="s">
        <v>192</v>
      </c>
      <c r="G7" t="s">
        <v>139</v>
      </c>
      <c r="H7">
        <v>0</v>
      </c>
      <c r="I7">
        <v>0</v>
      </c>
      <c r="J7">
        <v>0</v>
      </c>
      <c r="K7">
        <v>0</v>
      </c>
      <c r="L7" t="s">
        <v>140</v>
      </c>
      <c r="M7" t="s">
        <v>140</v>
      </c>
      <c r="N7" t="s">
        <v>140</v>
      </c>
      <c r="O7" t="s">
        <v>140</v>
      </c>
    </row>
    <row r="8" spans="2:15">
      <c r="B8" s="291">
        <v>43039</v>
      </c>
      <c r="C8" t="s">
        <v>138</v>
      </c>
      <c r="D8">
        <v>5</v>
      </c>
      <c r="E8" t="s">
        <v>139</v>
      </c>
      <c r="F8" t="s">
        <v>192</v>
      </c>
      <c r="G8" t="s">
        <v>139</v>
      </c>
      <c r="H8">
        <v>0</v>
      </c>
      <c r="I8">
        <v>0</v>
      </c>
      <c r="J8">
        <v>0</v>
      </c>
      <c r="K8">
        <v>0</v>
      </c>
      <c r="L8" t="s">
        <v>140</v>
      </c>
      <c r="M8" t="s">
        <v>140</v>
      </c>
      <c r="N8" t="s">
        <v>140</v>
      </c>
      <c r="O8" t="s">
        <v>140</v>
      </c>
    </row>
    <row r="9" spans="2:15">
      <c r="B9" s="291">
        <v>43039</v>
      </c>
      <c r="C9" t="s">
        <v>138</v>
      </c>
      <c r="D9">
        <v>6</v>
      </c>
      <c r="E9" t="s">
        <v>233</v>
      </c>
      <c r="F9" t="s">
        <v>247</v>
      </c>
      <c r="G9" t="s">
        <v>139</v>
      </c>
      <c r="H9">
        <v>0</v>
      </c>
      <c r="I9">
        <v>0</v>
      </c>
      <c r="J9">
        <v>0</v>
      </c>
      <c r="K9">
        <v>0</v>
      </c>
      <c r="L9" t="s">
        <v>140</v>
      </c>
      <c r="M9" t="s">
        <v>140</v>
      </c>
      <c r="N9" t="s">
        <v>140</v>
      </c>
      <c r="O9" t="s">
        <v>140</v>
      </c>
    </row>
    <row r="10" spans="2:15">
      <c r="B10" s="291">
        <v>43039</v>
      </c>
      <c r="C10" t="s">
        <v>138</v>
      </c>
      <c r="D10">
        <v>7</v>
      </c>
      <c r="E10" t="s">
        <v>235</v>
      </c>
      <c r="F10" t="s">
        <v>247</v>
      </c>
      <c r="G10" t="s">
        <v>139</v>
      </c>
      <c r="H10">
        <v>0</v>
      </c>
      <c r="I10">
        <v>0</v>
      </c>
      <c r="J10">
        <v>0</v>
      </c>
      <c r="K10">
        <v>0</v>
      </c>
      <c r="L10" t="s">
        <v>140</v>
      </c>
      <c r="M10" t="s">
        <v>140</v>
      </c>
      <c r="N10" t="s">
        <v>140</v>
      </c>
      <c r="O10" t="s">
        <v>140</v>
      </c>
    </row>
    <row r="11" spans="2:15">
      <c r="B11" s="291">
        <v>43039</v>
      </c>
      <c r="C11" t="s">
        <v>138</v>
      </c>
      <c r="D11">
        <v>8</v>
      </c>
      <c r="E11" t="s">
        <v>237</v>
      </c>
      <c r="F11" t="s">
        <v>247</v>
      </c>
      <c r="G11" t="s">
        <v>139</v>
      </c>
      <c r="H11">
        <v>5</v>
      </c>
      <c r="I11">
        <v>0</v>
      </c>
      <c r="J11">
        <v>0</v>
      </c>
      <c r="K11">
        <v>0</v>
      </c>
      <c r="L11" t="s">
        <v>236</v>
      </c>
      <c r="M11" t="s">
        <v>248</v>
      </c>
      <c r="N11" t="s">
        <v>140</v>
      </c>
      <c r="O11" t="s">
        <v>140</v>
      </c>
    </row>
    <row r="12" spans="2:15">
      <c r="B12" s="291">
        <v>43039</v>
      </c>
      <c r="C12" t="s">
        <v>138</v>
      </c>
      <c r="D12">
        <v>9</v>
      </c>
      <c r="E12" t="s">
        <v>233</v>
      </c>
      <c r="F12" t="s">
        <v>234</v>
      </c>
      <c r="G12" t="s">
        <v>243</v>
      </c>
      <c r="H12">
        <v>30</v>
      </c>
      <c r="I12">
        <v>0</v>
      </c>
      <c r="J12">
        <v>0</v>
      </c>
      <c r="K12">
        <v>0</v>
      </c>
      <c r="L12" t="s">
        <v>236</v>
      </c>
      <c r="M12" t="s">
        <v>248</v>
      </c>
      <c r="N12" t="s">
        <v>140</v>
      </c>
      <c r="O12" t="s">
        <v>140</v>
      </c>
    </row>
    <row r="13" spans="2:15">
      <c r="B13" s="291">
        <v>43039</v>
      </c>
      <c r="C13" t="s">
        <v>138</v>
      </c>
      <c r="D13">
        <v>10</v>
      </c>
      <c r="E13" t="s">
        <v>240</v>
      </c>
      <c r="F13" t="s">
        <v>234</v>
      </c>
      <c r="G13" t="s">
        <v>139</v>
      </c>
      <c r="H13">
        <v>0</v>
      </c>
      <c r="I13">
        <v>10</v>
      </c>
      <c r="J13">
        <v>0</v>
      </c>
      <c r="K13">
        <v>0</v>
      </c>
      <c r="L13" t="s">
        <v>140</v>
      </c>
      <c r="M13" t="s">
        <v>140</v>
      </c>
      <c r="N13" t="s">
        <v>249</v>
      </c>
      <c r="O13" t="s">
        <v>250</v>
      </c>
    </row>
    <row r="14" spans="2:15">
      <c r="B14" s="291">
        <v>43039</v>
      </c>
      <c r="C14" t="s">
        <v>138</v>
      </c>
      <c r="D14">
        <v>11</v>
      </c>
      <c r="E14" t="s">
        <v>238</v>
      </c>
      <c r="F14" t="s">
        <v>234</v>
      </c>
      <c r="G14" t="s">
        <v>139</v>
      </c>
      <c r="H14">
        <v>0</v>
      </c>
      <c r="I14">
        <v>20</v>
      </c>
      <c r="J14">
        <v>0</v>
      </c>
      <c r="K14">
        <v>0</v>
      </c>
      <c r="L14" t="s">
        <v>140</v>
      </c>
      <c r="M14" t="s">
        <v>140</v>
      </c>
      <c r="N14" t="s">
        <v>251</v>
      </c>
      <c r="O14" t="s">
        <v>252</v>
      </c>
    </row>
    <row r="15" spans="2:15">
      <c r="B15" s="291">
        <v>43039</v>
      </c>
      <c r="C15" t="s">
        <v>138</v>
      </c>
      <c r="D15">
        <v>12</v>
      </c>
      <c r="E15" t="s">
        <v>139</v>
      </c>
      <c r="F15" t="s">
        <v>192</v>
      </c>
      <c r="G15" t="s">
        <v>139</v>
      </c>
      <c r="H15">
        <v>60</v>
      </c>
      <c r="I15">
        <v>0</v>
      </c>
      <c r="J15">
        <v>0</v>
      </c>
      <c r="K15">
        <v>0</v>
      </c>
      <c r="L15" t="s">
        <v>253</v>
      </c>
      <c r="M15" t="s">
        <v>254</v>
      </c>
      <c r="N15" t="s">
        <v>140</v>
      </c>
      <c r="O15" t="s">
        <v>140</v>
      </c>
    </row>
    <row r="16" spans="2:15">
      <c r="B16" s="291">
        <v>43039</v>
      </c>
      <c r="C16" t="s">
        <v>138</v>
      </c>
      <c r="D16">
        <v>13</v>
      </c>
      <c r="E16" t="s">
        <v>139</v>
      </c>
      <c r="F16" t="s">
        <v>192</v>
      </c>
      <c r="G16" t="s">
        <v>139</v>
      </c>
      <c r="H16">
        <v>0</v>
      </c>
      <c r="I16">
        <v>0</v>
      </c>
      <c r="J16">
        <v>60</v>
      </c>
      <c r="K16">
        <v>0</v>
      </c>
      <c r="L16" t="s">
        <v>140</v>
      </c>
      <c r="M16" t="s">
        <v>140</v>
      </c>
      <c r="N16" t="s">
        <v>236</v>
      </c>
      <c r="O16" t="s">
        <v>255</v>
      </c>
    </row>
    <row r="17" spans="2:15">
      <c r="B17" s="291">
        <v>43039</v>
      </c>
      <c r="C17" t="s">
        <v>138</v>
      </c>
      <c r="D17">
        <v>14</v>
      </c>
      <c r="E17" t="s">
        <v>256</v>
      </c>
      <c r="F17" t="s">
        <v>239</v>
      </c>
      <c r="G17" t="s">
        <v>139</v>
      </c>
      <c r="H17">
        <v>30</v>
      </c>
      <c r="I17">
        <v>0</v>
      </c>
      <c r="J17">
        <v>0</v>
      </c>
      <c r="K17">
        <v>0</v>
      </c>
      <c r="L17" t="s">
        <v>236</v>
      </c>
      <c r="M17" t="s">
        <v>257</v>
      </c>
      <c r="N17" t="s">
        <v>140</v>
      </c>
      <c r="O17" t="s">
        <v>140</v>
      </c>
    </row>
    <row r="18" spans="2:15">
      <c r="B18" s="291">
        <v>43039</v>
      </c>
      <c r="C18" t="s">
        <v>138</v>
      </c>
      <c r="D18">
        <v>15</v>
      </c>
      <c r="E18" t="s">
        <v>258</v>
      </c>
      <c r="F18" t="s">
        <v>239</v>
      </c>
      <c r="G18" t="s">
        <v>139</v>
      </c>
      <c r="H18">
        <v>0</v>
      </c>
      <c r="I18">
        <v>20</v>
      </c>
      <c r="J18">
        <v>0</v>
      </c>
      <c r="K18">
        <v>0</v>
      </c>
      <c r="L18" t="s">
        <v>140</v>
      </c>
      <c r="M18" t="s">
        <v>140</v>
      </c>
      <c r="N18" t="s">
        <v>259</v>
      </c>
      <c r="O18" t="s">
        <v>260</v>
      </c>
    </row>
    <row r="19" spans="2:15">
      <c r="B19" s="291">
        <v>43039</v>
      </c>
      <c r="C19" t="s">
        <v>138</v>
      </c>
      <c r="D19">
        <v>16</v>
      </c>
      <c r="E19" t="s">
        <v>261</v>
      </c>
      <c r="F19" t="s">
        <v>239</v>
      </c>
      <c r="G19" t="s">
        <v>139</v>
      </c>
      <c r="H19">
        <v>0</v>
      </c>
      <c r="I19">
        <v>35</v>
      </c>
      <c r="J19">
        <v>0</v>
      </c>
      <c r="K19">
        <v>0</v>
      </c>
      <c r="L19" t="s">
        <v>140</v>
      </c>
      <c r="M19" t="s">
        <v>140</v>
      </c>
      <c r="N19" t="s">
        <v>259</v>
      </c>
      <c r="O19" t="s">
        <v>260</v>
      </c>
    </row>
    <row r="20" spans="2:15">
      <c r="B20" s="291">
        <v>43039</v>
      </c>
      <c r="C20" t="s">
        <v>138</v>
      </c>
      <c r="D20">
        <v>17</v>
      </c>
      <c r="E20" t="s">
        <v>262</v>
      </c>
      <c r="F20" t="s">
        <v>239</v>
      </c>
      <c r="G20" t="s">
        <v>139</v>
      </c>
      <c r="H20">
        <v>0</v>
      </c>
      <c r="I20">
        <v>56</v>
      </c>
      <c r="J20">
        <v>0</v>
      </c>
      <c r="K20">
        <v>0</v>
      </c>
      <c r="L20" t="s">
        <v>140</v>
      </c>
      <c r="M20" t="s">
        <v>140</v>
      </c>
      <c r="N20" t="s">
        <v>259</v>
      </c>
      <c r="O20" t="s">
        <v>260</v>
      </c>
    </row>
    <row r="21" spans="2:15">
      <c r="B21" s="291">
        <v>43039</v>
      </c>
      <c r="C21" t="s">
        <v>138</v>
      </c>
      <c r="D21">
        <v>18</v>
      </c>
      <c r="E21" t="s">
        <v>240</v>
      </c>
      <c r="F21" t="s">
        <v>239</v>
      </c>
      <c r="G21" t="s">
        <v>139</v>
      </c>
      <c r="H21">
        <v>0</v>
      </c>
      <c r="I21">
        <v>10</v>
      </c>
      <c r="J21">
        <v>0</v>
      </c>
      <c r="K21">
        <v>0</v>
      </c>
      <c r="L21" t="s">
        <v>140</v>
      </c>
      <c r="M21" t="s">
        <v>140</v>
      </c>
      <c r="N21" t="s">
        <v>241</v>
      </c>
      <c r="O21" t="s">
        <v>242</v>
      </c>
    </row>
    <row r="22" spans="2:15">
      <c r="B22" s="291">
        <v>43039</v>
      </c>
      <c r="C22" t="s">
        <v>138</v>
      </c>
      <c r="D22">
        <v>19</v>
      </c>
      <c r="E22" t="s">
        <v>139</v>
      </c>
      <c r="F22" t="s">
        <v>192</v>
      </c>
      <c r="G22" t="s">
        <v>139</v>
      </c>
      <c r="H22">
        <v>0</v>
      </c>
      <c r="I22">
        <v>0</v>
      </c>
      <c r="J22">
        <v>0</v>
      </c>
      <c r="K22">
        <v>0</v>
      </c>
      <c r="L22" t="s">
        <v>140</v>
      </c>
      <c r="M22" t="s">
        <v>140</v>
      </c>
      <c r="N22" t="s">
        <v>140</v>
      </c>
      <c r="O22" t="s">
        <v>140</v>
      </c>
    </row>
    <row r="23" spans="2:15">
      <c r="B23" s="291">
        <v>43039</v>
      </c>
      <c r="C23" t="s">
        <v>138</v>
      </c>
      <c r="D23">
        <v>20</v>
      </c>
      <c r="E23" t="s">
        <v>139</v>
      </c>
      <c r="F23" t="s">
        <v>192</v>
      </c>
      <c r="G23" t="s">
        <v>139</v>
      </c>
      <c r="H23">
        <v>0</v>
      </c>
      <c r="I23">
        <v>0</v>
      </c>
      <c r="J23">
        <v>0</v>
      </c>
      <c r="K23">
        <v>0</v>
      </c>
      <c r="L23" t="s">
        <v>140</v>
      </c>
      <c r="M23" t="s">
        <v>140</v>
      </c>
      <c r="N23" t="s">
        <v>140</v>
      </c>
      <c r="O23" t="s">
        <v>140</v>
      </c>
    </row>
    <row r="24" spans="2:15">
      <c r="B24" s="291">
        <v>43039</v>
      </c>
      <c r="C24" t="s">
        <v>138</v>
      </c>
      <c r="D24">
        <v>21</v>
      </c>
      <c r="E24" t="s">
        <v>139</v>
      </c>
      <c r="F24" t="s">
        <v>192</v>
      </c>
      <c r="G24" t="s">
        <v>139</v>
      </c>
      <c r="H24">
        <v>0</v>
      </c>
      <c r="I24">
        <v>0</v>
      </c>
      <c r="J24">
        <v>0</v>
      </c>
      <c r="K24">
        <v>0</v>
      </c>
      <c r="L24" t="s">
        <v>140</v>
      </c>
      <c r="M24" t="s">
        <v>140</v>
      </c>
      <c r="N24" t="s">
        <v>140</v>
      </c>
      <c r="O24" t="s">
        <v>140</v>
      </c>
    </row>
    <row r="25" spans="2:15">
      <c r="B25" s="291">
        <v>43039</v>
      </c>
      <c r="C25" t="s">
        <v>138</v>
      </c>
      <c r="D25">
        <v>22</v>
      </c>
      <c r="E25" t="s">
        <v>139</v>
      </c>
      <c r="F25" t="s">
        <v>192</v>
      </c>
      <c r="G25" t="s">
        <v>139</v>
      </c>
      <c r="H25">
        <v>0</v>
      </c>
      <c r="I25">
        <v>0</v>
      </c>
      <c r="J25">
        <v>0</v>
      </c>
      <c r="K25">
        <v>0</v>
      </c>
      <c r="L25" t="s">
        <v>140</v>
      </c>
      <c r="M25" t="s">
        <v>140</v>
      </c>
      <c r="N25" t="s">
        <v>140</v>
      </c>
      <c r="O25" t="s">
        <v>140</v>
      </c>
    </row>
    <row r="26" spans="2:15">
      <c r="B26" s="291">
        <v>43039</v>
      </c>
      <c r="C26" t="s">
        <v>138</v>
      </c>
      <c r="D26">
        <v>23</v>
      </c>
      <c r="E26" t="s">
        <v>139</v>
      </c>
      <c r="F26" t="s">
        <v>192</v>
      </c>
      <c r="G26" t="s">
        <v>139</v>
      </c>
      <c r="H26">
        <v>0</v>
      </c>
      <c r="I26">
        <v>0</v>
      </c>
      <c r="J26">
        <v>0</v>
      </c>
      <c r="K26">
        <v>0</v>
      </c>
      <c r="L26" t="s">
        <v>140</v>
      </c>
      <c r="M26" t="s">
        <v>140</v>
      </c>
      <c r="N26" t="s">
        <v>140</v>
      </c>
      <c r="O26" t="s">
        <v>140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topLeftCell="A13" zoomScale="70" zoomScaleNormal="70" workbookViewId="0">
      <selection activeCell="AQ33" sqref="AQ33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2.63281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59" t="s">
        <v>58</v>
      </c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0"/>
      <c r="AG2" s="460"/>
      <c r="AH2" s="460"/>
      <c r="AI2" s="460"/>
      <c r="AJ2" s="461"/>
      <c r="AK2" s="241"/>
      <c r="AL2" s="179"/>
      <c r="AM2" s="179"/>
      <c r="AN2" s="455"/>
      <c r="AO2" s="455"/>
      <c r="AP2" s="455"/>
      <c r="AQ2" s="455"/>
      <c r="AR2" s="455"/>
      <c r="AS2" s="455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62" t="str">
        <f>hourlyJava!C26</f>
        <v>L003</v>
      </c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3"/>
      <c r="AG3" s="463"/>
      <c r="AH3" s="463"/>
      <c r="AI3" s="463"/>
      <c r="AJ3" s="464"/>
      <c r="AK3" s="182"/>
      <c r="AL3" s="182"/>
      <c r="AM3" s="182"/>
      <c r="AN3" s="182"/>
      <c r="AO3" s="182"/>
      <c r="AP3" s="182"/>
      <c r="AQ3" s="448"/>
      <c r="AR3" s="448"/>
      <c r="AS3" s="448"/>
      <c r="AT3" s="252">
        <f>hourlyJava!B26</f>
        <v>43039</v>
      </c>
      <c r="AU3" s="256"/>
      <c r="AV3" s="257"/>
      <c r="AW3" s="257"/>
      <c r="AX3" s="259">
        <v>0.85</v>
      </c>
      <c r="AY3" s="258"/>
      <c r="BA3" s="287"/>
      <c r="BB3" s="287"/>
    </row>
    <row r="4" spans="1:57" s="4" customFormat="1" ht="3" customHeight="1" thickBot="1">
      <c r="A4" s="1"/>
      <c r="B4" s="456"/>
      <c r="C4" s="456"/>
      <c r="D4" s="456"/>
      <c r="E4" s="456"/>
      <c r="F4" s="456"/>
      <c r="G4" s="456"/>
      <c r="H4" s="456"/>
      <c r="I4" s="456"/>
      <c r="J4" s="456"/>
      <c r="K4" s="456"/>
      <c r="L4" s="456"/>
      <c r="M4" s="456"/>
      <c r="N4" s="456"/>
      <c r="O4" s="456"/>
      <c r="P4" s="456"/>
      <c r="Q4" s="456"/>
      <c r="R4" s="456"/>
      <c r="S4" s="456"/>
      <c r="T4" s="456"/>
      <c r="U4" s="456"/>
      <c r="V4" s="456"/>
      <c r="W4" s="456"/>
      <c r="X4" s="456"/>
      <c r="Y4" s="456"/>
      <c r="Z4" s="456"/>
      <c r="AA4" s="456"/>
      <c r="AB4" s="456"/>
      <c r="AC4" s="456"/>
      <c r="AD4" s="456"/>
      <c r="AE4" s="456"/>
      <c r="AF4" s="456"/>
      <c r="AG4" s="456"/>
      <c r="AH4" s="456"/>
      <c r="AI4" s="456"/>
      <c r="AJ4" s="456"/>
      <c r="AK4" s="456"/>
      <c r="AL4" s="456"/>
      <c r="AM4" s="456"/>
      <c r="AN4" s="456"/>
      <c r="AO4" s="456"/>
      <c r="AP4" s="456"/>
      <c r="AQ4" s="456"/>
      <c r="AR4" s="456"/>
      <c r="AS4" s="456"/>
      <c r="AT4" s="456"/>
      <c r="AU4" s="456"/>
      <c r="AV4" s="456"/>
      <c r="AW4" s="456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57" t="s">
        <v>60</v>
      </c>
      <c r="E5" s="458"/>
      <c r="F5" s="465" t="s">
        <v>96</v>
      </c>
      <c r="G5" s="466"/>
      <c r="H5" s="467" t="s">
        <v>95</v>
      </c>
      <c r="I5" s="468"/>
      <c r="J5" s="465" t="s">
        <v>64</v>
      </c>
      <c r="K5" s="471"/>
      <c r="L5" s="471"/>
      <c r="M5" s="471"/>
      <c r="N5" s="471"/>
      <c r="O5" s="471"/>
      <c r="P5" s="471"/>
      <c r="Q5" s="471"/>
      <c r="R5" s="471"/>
      <c r="S5" s="471"/>
      <c r="T5" s="471"/>
      <c r="U5" s="471"/>
      <c r="V5" s="471"/>
      <c r="W5" s="471"/>
      <c r="X5" s="471"/>
      <c r="Y5" s="471"/>
      <c r="Z5" s="471"/>
      <c r="AA5" s="471"/>
      <c r="AB5" s="471"/>
      <c r="AC5" s="471"/>
      <c r="AD5" s="471"/>
      <c r="AE5" s="471"/>
      <c r="AF5" s="471"/>
      <c r="AG5" s="471"/>
      <c r="AH5" s="471"/>
      <c r="AI5" s="471"/>
      <c r="AJ5" s="466"/>
      <c r="AK5" s="263" t="s">
        <v>7</v>
      </c>
      <c r="AL5" s="472" t="s">
        <v>65</v>
      </c>
      <c r="AM5" s="473"/>
      <c r="AN5" s="472" t="s">
        <v>66</v>
      </c>
      <c r="AO5" s="474"/>
      <c r="AP5" s="474"/>
      <c r="AQ5" s="474"/>
      <c r="AR5" s="472" t="s">
        <v>10</v>
      </c>
      <c r="AS5" s="474"/>
      <c r="AT5" s="474"/>
      <c r="AU5" s="474"/>
      <c r="AV5" s="474"/>
      <c r="AW5" s="473"/>
      <c r="AX5" s="469" t="s">
        <v>73</v>
      </c>
      <c r="AY5" s="470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49"/>
      <c r="L6" s="449"/>
      <c r="M6" s="449"/>
      <c r="N6" s="449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50"/>
      <c r="Z6" s="450"/>
      <c r="AA6" s="450"/>
      <c r="AB6" s="450"/>
      <c r="AC6" s="449"/>
      <c r="AD6" s="449"/>
      <c r="AE6" s="450"/>
      <c r="AF6" s="450"/>
      <c r="AG6" s="450"/>
      <c r="AH6" s="450"/>
      <c r="AI6" s="449"/>
      <c r="AJ6" s="478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479" t="s">
        <v>16</v>
      </c>
      <c r="AS6" s="480"/>
      <c r="AT6" s="274" t="s">
        <v>17</v>
      </c>
      <c r="AU6" s="275" t="s">
        <v>16</v>
      </c>
      <c r="AV6" s="475" t="s">
        <v>17</v>
      </c>
      <c r="AW6" s="476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60</v>
      </c>
      <c r="D7" s="224">
        <f>SUM($C7*60)/$AT$2</f>
        <v>211.76470588235293</v>
      </c>
      <c r="E7" s="225">
        <f>D7</f>
        <v>211.76470588235293</v>
      </c>
      <c r="F7" s="223">
        <f>IF(SUM(AL7:AQ7)=0,$D7,SUM(D7-AL7-AM7)-(AN7*60/AT2)-(AO7*60/AT2)-(AP7*60/AT2)-(AQ7*60/AT2))</f>
        <v>211.76470588235293</v>
      </c>
      <c r="G7" s="300">
        <f>F7</f>
        <v>211.76470588235293</v>
      </c>
      <c r="H7" s="304">
        <f>VALUE(hourlyJava!E9)</f>
        <v>120</v>
      </c>
      <c r="I7" s="304">
        <f>H7</f>
        <v>120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0001180603/15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00" t="str">
        <f>hourlyJava!L9</f>
        <v xml:space="preserve">
</v>
      </c>
      <c r="AS7" s="501"/>
      <c r="AT7" s="293" t="str">
        <f>hourlyJava!M9</f>
        <v xml:space="preserve">
</v>
      </c>
      <c r="AU7" s="296" t="str">
        <f>hourlyJava!N9</f>
        <v xml:space="preserve">
</v>
      </c>
      <c r="AV7" s="477" t="str">
        <f>hourlyJava!O9</f>
        <v xml:space="preserve">
</v>
      </c>
      <c r="AW7" s="477"/>
      <c r="AX7" s="183">
        <f>F7/D7*100</f>
        <v>100</v>
      </c>
      <c r="AY7" s="196">
        <f>AX7</f>
        <v>100</v>
      </c>
      <c r="BA7" s="289">
        <f>AY7</f>
        <v>100</v>
      </c>
      <c r="BB7" s="290">
        <f>D7*$AX$3</f>
        <v>179.99999999999997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8" si="0">SUM($C8*60)/$AT$2</f>
        <v>211.76470588235293</v>
      </c>
      <c r="E8" s="225">
        <f>E7+D8</f>
        <v>423.52941176470586</v>
      </c>
      <c r="F8" s="223">
        <f>IF(SUM(AL8:AQ8)=0,$D8,SUM(D8-AL8-AM8)-(AN8*60/AT2)-(AO8*60/AT2)-(AP8*60/AT2)-(AQ8*60/AT2))</f>
        <v>211.76470588235293</v>
      </c>
      <c r="G8" s="300">
        <f>IF(F8=0,0,G7+F8)</f>
        <v>423.52941176470586</v>
      </c>
      <c r="H8" s="304">
        <f>VALUE(hourlyJava!E10)</f>
        <v>235</v>
      </c>
      <c r="I8" s="304">
        <f>IF(H8=0,0,I7+H8)</f>
        <v>355</v>
      </c>
      <c r="J8" s="29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0001180603/15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00" t="str">
        <f>hourlyJava!L10</f>
        <v xml:space="preserve">
</v>
      </c>
      <c r="AS8" s="501"/>
      <c r="AT8" s="293" t="str">
        <f>hourlyJava!M10</f>
        <v xml:space="preserve">
</v>
      </c>
      <c r="AU8" s="296" t="str">
        <f>hourlyJava!N10</f>
        <v xml:space="preserve">
</v>
      </c>
      <c r="AV8" s="477" t="str">
        <f>hourlyJava!O10</f>
        <v xml:space="preserve">
</v>
      </c>
      <c r="AW8" s="477"/>
      <c r="AX8" s="183">
        <f>F8/D8*100</f>
        <v>100</v>
      </c>
      <c r="AY8" s="184">
        <f>$G8/SUM($D7:$D8)*100</f>
        <v>100</v>
      </c>
      <c r="BA8" s="289">
        <f>$G8/SUM($D$7:$D8)*100</f>
        <v>100</v>
      </c>
      <c r="BB8" s="290">
        <f t="shared" ref="BB8:BB18" si="1">D8*$AX$3</f>
        <v>179.99999999999997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2">E8+D9</f>
        <v>635.29411764705878</v>
      </c>
      <c r="F9" s="223">
        <f>IF(SUM(AL9:AQ9)=0,$D9,SUM(D9-AL9-AM9)-(AN9*60/AT2)-(AO9*60/AT2)-(AP9*60/AT2)-(AQ9*60/AT2))</f>
        <v>194.11764705882351</v>
      </c>
      <c r="G9" s="300">
        <f t="shared" ref="G9:G17" si="3">IF(F9=0,0,G8+F9)</f>
        <v>617.64705882352939</v>
      </c>
      <c r="H9" s="304">
        <f>VALUE(hourlyJava!E11)</f>
        <v>220</v>
      </c>
      <c r="I9" s="304">
        <f t="shared" ref="I9:I18" si="4">IF(H9=0,0,I8+H9)</f>
        <v>575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0001180603/15</v>
      </c>
      <c r="AL9" s="247">
        <f>VALUE(hourlyJava!G11)</f>
        <v>0</v>
      </c>
      <c r="AM9" s="248"/>
      <c r="AN9" s="247">
        <f>VALUE(hourlyJava!H11)</f>
        <v>5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00" t="str">
        <f>hourlyJava!L11</f>
        <v xml:space="preserve">
L003</v>
      </c>
      <c r="AS9" s="501"/>
      <c r="AT9" s="293" t="str">
        <f>hourlyJava!M11</f>
        <v xml:space="preserve">
FORD-0001180603 a AUDI-0001174403</v>
      </c>
      <c r="AU9" s="296" t="str">
        <f>hourlyJava!N11</f>
        <v xml:space="preserve">
</v>
      </c>
      <c r="AV9" s="477" t="str">
        <f>hourlyJava!O11</f>
        <v xml:space="preserve">
</v>
      </c>
      <c r="AW9" s="477"/>
      <c r="AX9" s="183">
        <f t="shared" ref="AX9:AX18" si="5">F9/D9*100</f>
        <v>91.666666666666657</v>
      </c>
      <c r="AY9" s="184">
        <f>G9/SUM(D7:D9)*100</f>
        <v>97.222222222222214</v>
      </c>
      <c r="BA9" s="289">
        <f>$G9/SUM($D$7:$D9)*100</f>
        <v>97.222222222222214</v>
      </c>
      <c r="BB9" s="290">
        <f t="shared" si="1"/>
        <v>179.99999999999997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2"/>
        <v>847.05882352941171</v>
      </c>
      <c r="F10" s="223">
        <f>IF(SUM(AL10:AQ10)=0,$D10,SUM(D10-AL10-AM10)-(AN10*60/AT2)-(AO10*60/AT2)-(AP10*60/AT2)-(AQ10*60/AT2))</f>
        <v>102.88235294117646</v>
      </c>
      <c r="G10" s="300">
        <f t="shared" si="3"/>
        <v>720.52941176470586</v>
      </c>
      <c r="H10" s="304">
        <f>VALUE(hourlyJava!E12)</f>
        <v>120</v>
      </c>
      <c r="I10" s="304">
        <f t="shared" si="4"/>
        <v>695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0001174403/15</v>
      </c>
      <c r="AL10" s="247">
        <f>VALUE(hourlyJava!G12)</f>
        <v>3</v>
      </c>
      <c r="AM10" s="248"/>
      <c r="AN10" s="247">
        <f>VALUE(hourlyJava!H12)</f>
        <v>30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00" t="str">
        <f>hourlyJava!L12</f>
        <v xml:space="preserve">
L003</v>
      </c>
      <c r="AS10" s="501"/>
      <c r="AT10" s="293" t="str">
        <f>hourlyJava!M12</f>
        <v xml:space="preserve">
FORD-0001180603 a AUDI-0001174403</v>
      </c>
      <c r="AU10" s="296" t="str">
        <f>hourlyJava!N12</f>
        <v xml:space="preserve">
</v>
      </c>
      <c r="AV10" s="477" t="str">
        <f>hourlyJava!O12</f>
        <v xml:space="preserve">
</v>
      </c>
      <c r="AW10" s="477"/>
      <c r="AX10" s="183">
        <f t="shared" si="5"/>
        <v>48.583333333333336</v>
      </c>
      <c r="AY10" s="184">
        <f>G10/SUM(D7:D10)*100</f>
        <v>85.062500000000014</v>
      </c>
      <c r="BA10" s="289">
        <f>$G10/SUM($D$7:$D10)*100</f>
        <v>85.062500000000014</v>
      </c>
      <c r="BB10" s="290">
        <f t="shared" si="1"/>
        <v>179.99999999999997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2"/>
        <v>1058.8235294117646</v>
      </c>
      <c r="F11" s="223">
        <f>IF(SUM(AL11:AQ11)=0,$D11,SUM(D11-AL11-AM11)-(AN11*60/AT2)-(AO11*60/AT2)-(AP11*60/AT2)-(AQ11*60/AT2))</f>
        <v>176.47058823529409</v>
      </c>
      <c r="G11" s="300">
        <f t="shared" si="3"/>
        <v>897</v>
      </c>
      <c r="H11" s="304">
        <f>VALUE(hourlyJava!E13)</f>
        <v>200</v>
      </c>
      <c r="I11" s="304">
        <f t="shared" si="4"/>
        <v>895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0001174403/15</v>
      </c>
      <c r="AL11" s="247">
        <f>VALUE(hourlyJava!G13)</f>
        <v>0</v>
      </c>
      <c r="AM11" s="248"/>
      <c r="AN11" s="247">
        <f>VALUE(hourlyJava!H13)</f>
        <v>0</v>
      </c>
      <c r="AO11" s="249">
        <f>VALUE(hourlyJava!I13)</f>
        <v>10</v>
      </c>
      <c r="AP11" s="249">
        <f>VALUE(hourlyJava!J13)</f>
        <v>0</v>
      </c>
      <c r="AQ11" s="249">
        <f>VALUE(hourlyJava!K13)</f>
        <v>0</v>
      </c>
      <c r="AR11" s="500" t="str">
        <f>hourlyJava!L13</f>
        <v xml:space="preserve">
</v>
      </c>
      <c r="AS11" s="501"/>
      <c r="AT11" s="293" t="str">
        <f>hourlyJava!M13</f>
        <v xml:space="preserve">
</v>
      </c>
      <c r="AU11" s="296" t="str">
        <f>hourlyJava!N13</f>
        <v xml:space="preserve">
1210
</v>
      </c>
      <c r="AV11" s="477" t="str">
        <f>hourlyJava!O13</f>
        <v xml:space="preserve">
Cambio de etiqueta
</v>
      </c>
      <c r="AW11" s="477"/>
      <c r="AX11" s="183">
        <f>F11/D11*100</f>
        <v>83.333333333333329</v>
      </c>
      <c r="AY11" s="184">
        <f>G11/SUM(D7:D11)*100</f>
        <v>84.716666666666669</v>
      </c>
      <c r="BA11" s="289">
        <f>$G11/SUM($D$7:$D11)*100</f>
        <v>84.716666666666669</v>
      </c>
      <c r="BB11" s="290">
        <f t="shared" si="1"/>
        <v>179.99999999999997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2"/>
        <v>1270.5882352941176</v>
      </c>
      <c r="F12" s="223">
        <f>IF(SUM(AL12:AQ12)=0,$D12,SUM(D12-AL12-AM12)-(AN12*60/AT2)-(AO12*60/AT2)-(AP12*60/AT2)-(AQ12*60/AT2))</f>
        <v>141.17647058823528</v>
      </c>
      <c r="G12" s="300">
        <f>IF(F12=0,0,G11+F12)</f>
        <v>1038.1764705882354</v>
      </c>
      <c r="H12" s="304">
        <f>VALUE(hourlyJava!E14)</f>
        <v>40</v>
      </c>
      <c r="I12" s="304">
        <f t="shared" si="4"/>
        <v>935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0001174403/15</v>
      </c>
      <c r="AL12" s="247">
        <f>VALUE(hourlyJava!G14)</f>
        <v>0</v>
      </c>
      <c r="AM12" s="248"/>
      <c r="AN12" s="247">
        <f>VALUE(hourlyJava!H14)</f>
        <v>0</v>
      </c>
      <c r="AO12" s="249">
        <f>VALUE(hourlyJava!I14)</f>
        <v>20</v>
      </c>
      <c r="AP12" s="249">
        <f>VALUE(hourlyJava!J14)</f>
        <v>0</v>
      </c>
      <c r="AQ12" s="249">
        <f>VALUE(hourlyJava!K14)</f>
        <v>0</v>
      </c>
      <c r="AR12" s="500" t="str">
        <f>hourlyJava!L14</f>
        <v xml:space="preserve">
</v>
      </c>
      <c r="AS12" s="501"/>
      <c r="AT12" s="293" t="str">
        <f>hourlyJava!M14</f>
        <v xml:space="preserve">
</v>
      </c>
      <c r="AU12" s="296" t="str">
        <f>hourlyJava!N14</f>
        <v xml:space="preserve">
1200
</v>
      </c>
      <c r="AV12" s="477" t="str">
        <f>hourlyJava!O14</f>
        <v xml:space="preserve">
Cambio de sensor y cable STN 1200
</v>
      </c>
      <c r="AW12" s="477"/>
      <c r="AX12" s="183">
        <f t="shared" si="5"/>
        <v>66.666666666666657</v>
      </c>
      <c r="AY12" s="184">
        <f>G12/SUM(D7:D12)*100</f>
        <v>81.708333333333343</v>
      </c>
      <c r="BA12" s="289">
        <f>$G12/SUM($D$7:$D12)*100</f>
        <v>81.708333333333343</v>
      </c>
      <c r="BB12" s="290">
        <f t="shared" si="1"/>
        <v>179.99999999999997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2"/>
        <v>1482.3529411764705</v>
      </c>
      <c r="F13" s="223">
        <f>IF(SUM(AL13:AQ13)=0,$D13,SUM(D13-AL13-AM13)-(AN13*60/AT2)-(AO13*60/AT2)-(AP13*60/AT2)-(AQ13*60/AT2))</f>
        <v>0</v>
      </c>
      <c r="G13" s="300">
        <f t="shared" si="3"/>
        <v>0</v>
      </c>
      <c r="H13" s="304">
        <f>VALUE(hourlyJava!E15)</f>
        <v>0</v>
      </c>
      <c r="I13" s="304">
        <f t="shared" si="4"/>
        <v>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-</v>
      </c>
      <c r="AL13" s="247">
        <f>VALUE(hourlyJava!G15)</f>
        <v>0</v>
      </c>
      <c r="AM13" s="248"/>
      <c r="AN13" s="247">
        <f>VALUE(hourlyJava!H15)</f>
        <v>60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00" t="str">
        <f>hourlyJava!L15</f>
        <v xml:space="preserve">
L003
L003</v>
      </c>
      <c r="AS13" s="501"/>
      <c r="AT13" s="293" t="str">
        <f>hourlyJava!M15</f>
        <v xml:space="preserve">
AUDI-0001174403 a AUDI-0001174605
AUDI-0001174605 a FORD-0001180603</v>
      </c>
      <c r="AU13" s="296" t="str">
        <f>hourlyJava!N15</f>
        <v xml:space="preserve">
</v>
      </c>
      <c r="AV13" s="477" t="str">
        <f>hourlyJava!O15</f>
        <v xml:space="preserve">
</v>
      </c>
      <c r="AW13" s="477"/>
      <c r="AX13" s="183">
        <f t="shared" si="5"/>
        <v>0</v>
      </c>
      <c r="AY13" s="184">
        <f>G13/SUM(D7:D13)*100</f>
        <v>0</v>
      </c>
      <c r="BA13" s="289">
        <f>$G13/SUM($D$7:$D13)*100</f>
        <v>0</v>
      </c>
      <c r="BB13" s="290">
        <f t="shared" si="1"/>
        <v>179.99999999999997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2"/>
        <v>1694.1176470588234</v>
      </c>
      <c r="F14" s="223">
        <f>IF(SUM(AL14:AQ14)=0,$D14,SUM(D14-AL14-AM14)-(AN14*60/AT2)-(AO14*60/AT2)-(AP14*60/AT2)-(AQ14*60/AT2))</f>
        <v>0</v>
      </c>
      <c r="G14" s="300">
        <f t="shared" si="3"/>
        <v>0</v>
      </c>
      <c r="H14" s="304">
        <f>VALUE(hourlyJava!E16)</f>
        <v>0</v>
      </c>
      <c r="I14" s="304">
        <f t="shared" si="4"/>
        <v>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-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60</v>
      </c>
      <c r="AQ14" s="249">
        <f>VALUE(hourlyJava!K16)</f>
        <v>0</v>
      </c>
      <c r="AR14" s="500" t="str">
        <f>hourlyJava!L16</f>
        <v xml:space="preserve">
</v>
      </c>
      <c r="AS14" s="501"/>
      <c r="AT14" s="293" t="str">
        <f>hourlyJava!M16</f>
        <v xml:space="preserve">
</v>
      </c>
      <c r="AU14" s="296" t="str">
        <f>hourlyJava!N16</f>
        <v xml:space="preserve">
L003</v>
      </c>
      <c r="AV14" s="477" t="str">
        <f>hourlyJava!O16</f>
        <v xml:space="preserve">
Para pruebas de nuevo proveedor</v>
      </c>
      <c r="AW14" s="477"/>
      <c r="AX14" s="183">
        <f t="shared" si="5"/>
        <v>0</v>
      </c>
      <c r="AY14" s="184">
        <f>G14/SUM(D7:D14)*100</f>
        <v>0</v>
      </c>
      <c r="BA14" s="289">
        <f>$G14/SUM($D$7:$D14)*100</f>
        <v>0</v>
      </c>
      <c r="BB14" s="290">
        <f t="shared" si="1"/>
        <v>179.99999999999997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211.76470588235293</v>
      </c>
      <c r="E15" s="225">
        <f t="shared" si="2"/>
        <v>1905.8823529411764</v>
      </c>
      <c r="F15" s="223">
        <f>IF(SUM(AL15:AQ15)=0,$D15,SUM(D15-AL15-AM15)-(AN15*60/AT2)-(AO15*60/AT2)-(AP15*60/AT2)-(AQ15*60/AT2))</f>
        <v>105.88235294117646</v>
      </c>
      <c r="G15" s="300">
        <f t="shared" si="3"/>
        <v>105.88235294117646</v>
      </c>
      <c r="H15" s="304">
        <f>VALUE(hourlyJava!E17)</f>
        <v>109</v>
      </c>
      <c r="I15" s="304">
        <f t="shared" si="4"/>
        <v>109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0001174605/15</v>
      </c>
      <c r="AL15" s="247">
        <f>VALUE(hourlyJava!G17)</f>
        <v>0</v>
      </c>
      <c r="AM15" s="278"/>
      <c r="AN15" s="247">
        <f>VALUE(hourlyJava!H17)</f>
        <v>30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00" t="str">
        <f>hourlyJava!L17</f>
        <v xml:space="preserve">
L003</v>
      </c>
      <c r="AS15" s="501"/>
      <c r="AT15" s="293" t="str">
        <f>hourlyJava!M17</f>
        <v xml:space="preserve">
FORD-0001180603 a AUDI-0001174605</v>
      </c>
      <c r="AU15" s="296" t="str">
        <f>hourlyJava!N17</f>
        <v xml:space="preserve">
</v>
      </c>
      <c r="AV15" s="477" t="str">
        <f>hourlyJava!O17</f>
        <v xml:space="preserve">
</v>
      </c>
      <c r="AW15" s="477"/>
      <c r="AX15" s="183">
        <f t="shared" si="5"/>
        <v>50</v>
      </c>
      <c r="AY15" s="184">
        <f>G15/SUM(D7:D15)*100</f>
        <v>5.5555555555555554</v>
      </c>
      <c r="BA15" s="289">
        <f>$G15/SUM($D$7:$D15)*100</f>
        <v>5.5555555555555554</v>
      </c>
      <c r="BB15" s="290">
        <f t="shared" si="1"/>
        <v>179.99999999999997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211.76470588235293</v>
      </c>
      <c r="E16" s="225">
        <f t="shared" si="2"/>
        <v>2117.6470588235293</v>
      </c>
      <c r="F16" s="223">
        <f>IF(SUM(AL16:AQ16)=0,$D16,SUM(D16-AL16-AM16)-(AN16*60/AT2)-(AO16*60/AT2)-(AP16*60/AT2)-(AQ16*60/AT2))</f>
        <v>141.17647058823528</v>
      </c>
      <c r="G16" s="300">
        <f t="shared" si="3"/>
        <v>247.05882352941174</v>
      </c>
      <c r="H16" s="304">
        <f>VALUE(hourlyJava!E18)</f>
        <v>141</v>
      </c>
      <c r="I16" s="304">
        <f t="shared" si="4"/>
        <v>250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hourlyJava!F18</f>
        <v>0001174605/15</v>
      </c>
      <c r="AL16" s="247">
        <f>VALUE(hourlyJava!G18)</f>
        <v>0</v>
      </c>
      <c r="AM16" s="278"/>
      <c r="AN16" s="247">
        <f>VALUE(hourlyJava!H18)</f>
        <v>0</v>
      </c>
      <c r="AO16" s="249">
        <f>VALUE(hourlyJava!I18)</f>
        <v>20</v>
      </c>
      <c r="AP16" s="249">
        <f>VALUE(hourlyJava!J18)</f>
        <v>0</v>
      </c>
      <c r="AQ16" s="249">
        <f>VALUE(hourlyJava!K18)</f>
        <v>0</v>
      </c>
      <c r="AR16" s="500" t="str">
        <f>hourlyJava!L18</f>
        <v xml:space="preserve">
</v>
      </c>
      <c r="AS16" s="501"/>
      <c r="AT16" s="293" t="str">
        <f>hourlyJava!M18</f>
        <v xml:space="preserve">
</v>
      </c>
      <c r="AU16" s="296" t="str">
        <f>hourlyJava!N18</f>
        <v xml:space="preserve">
1140
</v>
      </c>
      <c r="AV16" s="477" t="str">
        <f>hourlyJava!O18</f>
        <v xml:space="preserve">
Falla camara cognex no da inicio ciclo, no detecta spring 3 y 4
</v>
      </c>
      <c r="AW16" s="477"/>
      <c r="AX16" s="183">
        <f t="shared" si="5"/>
        <v>66.666666666666657</v>
      </c>
      <c r="AY16" s="184">
        <f>G16/SUM(D7:D16)*100</f>
        <v>11.666666666666666</v>
      </c>
      <c r="BA16" s="289">
        <f>$G16/SUM($D$7:$D16)*100</f>
        <v>11.666666666666666</v>
      </c>
      <c r="BB16" s="290">
        <f t="shared" si="1"/>
        <v>179.99999999999997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211.76470588235293</v>
      </c>
      <c r="E17" s="225">
        <f t="shared" si="2"/>
        <v>2329.411764705882</v>
      </c>
      <c r="F17" s="223">
        <f>IF(SUM(AL17:AQ17)=0,$D17,SUM(D17-AL17-AM17)-(AN17*60/AT2)-(AO17*60/AT2)-(AP17*60/AT2)-(AQ17*60/AT2))</f>
        <v>88.235294117647044</v>
      </c>
      <c r="G17" s="300">
        <f t="shared" si="3"/>
        <v>335.29411764705878</v>
      </c>
      <c r="H17" s="304">
        <f>VALUE(hourlyJava!E19)</f>
        <v>100</v>
      </c>
      <c r="I17" s="304">
        <f t="shared" si="4"/>
        <v>350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hourlyJava!F19</f>
        <v>0001174605/15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35</v>
      </c>
      <c r="AP17" s="249">
        <f>VALUE(hourlyJava!J19)</f>
        <v>0</v>
      </c>
      <c r="AQ17" s="249">
        <f>VALUE(hourlyJava!K19)</f>
        <v>0</v>
      </c>
      <c r="AR17" s="500" t="str">
        <f>hourlyJava!L19</f>
        <v xml:space="preserve">
</v>
      </c>
      <c r="AS17" s="501"/>
      <c r="AT17" s="293" t="str">
        <f>hourlyJava!M19</f>
        <v xml:space="preserve">
</v>
      </c>
      <c r="AU17" s="296" t="str">
        <f>hourlyJava!N19</f>
        <v xml:space="preserve">
1140
</v>
      </c>
      <c r="AV17" s="477" t="str">
        <f>hourlyJava!O19</f>
        <v xml:space="preserve">
Falla camara cognex no da inicio ciclo, no detecta spring 3 y 4
</v>
      </c>
      <c r="AW17" s="477"/>
      <c r="AX17" s="183">
        <f t="shared" si="5"/>
        <v>41.666666666666664</v>
      </c>
      <c r="AY17" s="184">
        <f>G17/SUM(D7:D17)*100</f>
        <v>14.393939393939394</v>
      </c>
      <c r="BA17" s="289">
        <f>$G17/SUM($D$7:$D17)*100</f>
        <v>14.393939393939394</v>
      </c>
      <c r="BB17" s="290">
        <f t="shared" si="1"/>
        <v>179.99999999999997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211.76470588235293</v>
      </c>
      <c r="E18" s="225">
        <f t="shared" si="2"/>
        <v>2541.1764705882351</v>
      </c>
      <c r="F18" s="223">
        <f>IF(SUM(AL18:AQ18)=0,$D18,SUM(D18-AL18-AM18)-(AN18*60/AT2)-(AO18*60/AT2)-(AP18*60/AT2)-(AQ18*60/AT2))</f>
        <v>14.117647058823508</v>
      </c>
      <c r="G18" s="300">
        <f>IF(F18=0,0,G17+F18)</f>
        <v>349.41176470588232</v>
      </c>
      <c r="H18" s="304">
        <f>VALUE(hourlyJava!E20)</f>
        <v>15</v>
      </c>
      <c r="I18" s="304">
        <f t="shared" si="4"/>
        <v>365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2" t="str">
        <f>hourlyJava!F20</f>
        <v>0001174605/15</v>
      </c>
      <c r="AL18" s="247">
        <f>VALUE(hourlyJava!G20)</f>
        <v>0</v>
      </c>
      <c r="AM18" s="248"/>
      <c r="AN18" s="247">
        <f>VALUE(hourlyJava!H20)</f>
        <v>0</v>
      </c>
      <c r="AO18" s="249">
        <f>VALUE(hourlyJava!I20)</f>
        <v>56</v>
      </c>
      <c r="AP18" s="249">
        <f>VALUE(hourlyJava!J20)</f>
        <v>0</v>
      </c>
      <c r="AQ18" s="249">
        <f>VALUE(hourlyJava!K20)</f>
        <v>0</v>
      </c>
      <c r="AR18" s="500" t="str">
        <f>hourlyJava!L20</f>
        <v xml:space="preserve">
</v>
      </c>
      <c r="AS18" s="501"/>
      <c r="AT18" s="293" t="str">
        <f>hourlyJava!M20</f>
        <v xml:space="preserve">
</v>
      </c>
      <c r="AU18" s="296" t="str">
        <f>hourlyJava!N20</f>
        <v xml:space="preserve">
1140
</v>
      </c>
      <c r="AV18" s="477" t="str">
        <f>hourlyJava!O20</f>
        <v xml:space="preserve">
Falla camara cognex no da inicio ciclo, no detecta spring 3 y 4
</v>
      </c>
      <c r="AW18" s="477"/>
      <c r="AX18" s="183">
        <f t="shared" si="5"/>
        <v>6.6666666666666572</v>
      </c>
      <c r="AY18" s="184">
        <f>G18/SUM(D7:D18)*100</f>
        <v>13.749999999999998</v>
      </c>
      <c r="BA18" s="289">
        <f>$G18/SUM($D$7:$D18)*100</f>
        <v>13.749999999999998</v>
      </c>
      <c r="BB18" s="290">
        <f t="shared" si="1"/>
        <v>179.99999999999997</v>
      </c>
      <c r="BC18" s="279"/>
    </row>
    <row r="19" spans="2:57" ht="18" customHeight="1" thickBot="1">
      <c r="B19" s="451" t="s">
        <v>27</v>
      </c>
      <c r="C19" s="452"/>
      <c r="D19" s="233" t="s">
        <v>26</v>
      </c>
      <c r="E19" s="392">
        <f>SUM(E7:E18)</f>
        <v>16517.647058823528</v>
      </c>
      <c r="F19" s="453">
        <f>SUM(G7:G18)</f>
        <v>4946.2941176470586</v>
      </c>
      <c r="G19" s="454"/>
      <c r="H19" s="502">
        <f>SUM(I7:I18)</f>
        <v>4649</v>
      </c>
      <c r="I19" s="503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3</v>
      </c>
      <c r="AM19" s="185">
        <f t="shared" si="6"/>
        <v>0</v>
      </c>
      <c r="AN19" s="207">
        <f t="shared" si="6"/>
        <v>125</v>
      </c>
      <c r="AO19" s="208">
        <f t="shared" si="6"/>
        <v>141</v>
      </c>
      <c r="AP19" s="209">
        <f t="shared" si="6"/>
        <v>60</v>
      </c>
      <c r="AQ19" s="209">
        <f t="shared" si="6"/>
        <v>0</v>
      </c>
      <c r="AR19" s="210"/>
      <c r="AS19" s="211"/>
      <c r="AT19" s="212"/>
      <c r="AU19" s="213"/>
      <c r="AV19" s="488"/>
      <c r="AW19" s="488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0.13749999999999998</v>
      </c>
      <c r="BA19" s="289"/>
      <c r="BC19" s="279"/>
    </row>
    <row r="20" spans="2:57" ht="18" customHeight="1" thickBot="1">
      <c r="B20" s="281" t="s">
        <v>32</v>
      </c>
      <c r="C20" s="244">
        <v>60</v>
      </c>
      <c r="D20" s="226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176.47058823529409</v>
      </c>
      <c r="G20" s="299">
        <f>F20</f>
        <v>176.47058823529409</v>
      </c>
      <c r="H20" s="305">
        <f>VALUE(hourlyJava!E21)</f>
        <v>200</v>
      </c>
      <c r="I20" s="305">
        <f>H20</f>
        <v>200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0001174605/15</v>
      </c>
      <c r="AL20" s="247">
        <f>VALUE(hourlyJava!G21)</f>
        <v>0</v>
      </c>
      <c r="AM20" s="248"/>
      <c r="AN20" s="247">
        <f>VALUE(hourlyJava!H21)</f>
        <v>0</v>
      </c>
      <c r="AO20" s="247">
        <f>VALUE(hourlyJava!I21)</f>
        <v>10</v>
      </c>
      <c r="AP20" s="247">
        <f>VALUE(hourlyJava!J21)</f>
        <v>0</v>
      </c>
      <c r="AQ20" s="247">
        <f>VALUE(hourlyJava!K21)</f>
        <v>0</v>
      </c>
      <c r="AR20" s="498" t="str">
        <f>hourlyJava!L21</f>
        <v xml:space="preserve">
</v>
      </c>
      <c r="AS20" s="499"/>
      <c r="AT20" s="295" t="str">
        <f>hourlyJava!M21</f>
        <v xml:space="preserve">
</v>
      </c>
      <c r="AU20" s="297" t="str">
        <f>hourlyJava!N21</f>
        <v xml:space="preserve">
1040
</v>
      </c>
      <c r="AV20" s="487" t="str">
        <f>hourlyJava!O21</f>
        <v xml:space="preserve">
Cambio de bote de grasa
</v>
      </c>
      <c r="AW20" s="487"/>
      <c r="AX20" s="221">
        <f>F20/D20*100</f>
        <v>83.333333333333329</v>
      </c>
      <c r="AY20" s="222">
        <f>AX20</f>
        <v>83.333333333333329</v>
      </c>
      <c r="BA20" s="289">
        <f>IF(F20&gt;0,SUM($F$19+F20)/($E$19+D20))*100</f>
        <v>30.621308016877634</v>
      </c>
      <c r="BB20" s="290">
        <f>D20*$AX$3</f>
        <v>179.99999999999997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ref="D21:D31" si="7">SUM($C21*60)/$AT$2</f>
        <v>211.76470588235293</v>
      </c>
      <c r="E21" s="225">
        <f t="shared" ref="E21:E30" si="8">E20+D21</f>
        <v>423.52941176470586</v>
      </c>
      <c r="F21" s="223">
        <f>IF(SUM(AL21:AQ21)=0,$D21,SUM(D21-AL21-AM21)-(AN21*60/AT2)-(AO21*60/AT2)-(AP21*60/AT2)-(AQ21*60/AT2))</f>
        <v>211.76470588235293</v>
      </c>
      <c r="G21" s="300">
        <f>IF(F21=0,0,G20+F21)</f>
        <v>388.23529411764702</v>
      </c>
      <c r="H21" s="305">
        <f>VALUE(hourlyJava!E22)</f>
        <v>0</v>
      </c>
      <c r="I21" s="306">
        <f>IF(H21=0,0,I20+H21)</f>
        <v>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-</v>
      </c>
      <c r="AL21" s="247">
        <f>VALUE(hourlyJava!G22)</f>
        <v>0</v>
      </c>
      <c r="AM21" s="248"/>
      <c r="AN21" s="247">
        <f>VALUE(hourlyJava!H22)</f>
        <v>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498" t="str">
        <f>hourlyJava!L22</f>
        <v xml:space="preserve">
</v>
      </c>
      <c r="AS21" s="499"/>
      <c r="AT21" s="295" t="str">
        <f>hourlyJava!M22</f>
        <v xml:space="preserve">
</v>
      </c>
      <c r="AU21" s="297" t="str">
        <f>hourlyJava!N22</f>
        <v xml:space="preserve">
</v>
      </c>
      <c r="AV21" s="487" t="str">
        <f>hourlyJava!O22</f>
        <v xml:space="preserve">
</v>
      </c>
      <c r="AW21" s="487"/>
      <c r="AX21" s="183">
        <f>F21/D21*100</f>
        <v>100</v>
      </c>
      <c r="AY21" s="184">
        <f>G21/SUM(D20:D21)*100</f>
        <v>91.666666666666657</v>
      </c>
      <c r="BA21" s="289">
        <f>IF(F21&gt;0,SUM($F$19+G21)/($E$19+E21))*100</f>
        <v>31.488541666666663</v>
      </c>
      <c r="BB21" s="290">
        <f t="shared" ref="BB21:BB31" si="9">D21*$AX$3</f>
        <v>179.99999999999997</v>
      </c>
      <c r="BC21" s="279"/>
    </row>
    <row r="22" spans="2:57" ht="18" customHeight="1" thickBot="1">
      <c r="B22" s="283" t="s">
        <v>34</v>
      </c>
      <c r="C22" s="246">
        <v>60</v>
      </c>
      <c r="D22" s="226">
        <f t="shared" si="7"/>
        <v>211.76470588235293</v>
      </c>
      <c r="E22" s="225">
        <f t="shared" si="8"/>
        <v>635.29411764705878</v>
      </c>
      <c r="F22" s="223">
        <f>IF(SUM(AL22:AQ22)=0,$D22,SUM(D22-AL22-AM22)-(AN22*60/AT2)-(AO22*60/AT2)-(AP22*60/AT2)-(AQ22*60/AT2))</f>
        <v>211.76470588235293</v>
      </c>
      <c r="G22" s="300">
        <f t="shared" ref="G22:G30" si="10">IF(F22=0,0,G21+F22)</f>
        <v>600</v>
      </c>
      <c r="H22" s="305">
        <f>VALUE(hourlyJava!E23)</f>
        <v>0</v>
      </c>
      <c r="I22" s="306">
        <f t="shared" ref="I22:I30" si="11">IF(H22=0,0,I21+H22)</f>
        <v>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-</v>
      </c>
      <c r="AL22" s="247">
        <f>VALUE(hourlyJava!G23)</f>
        <v>0</v>
      </c>
      <c r="AM22" s="248"/>
      <c r="AN22" s="247">
        <f>VALUE(hourlyJava!H23)</f>
        <v>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498" t="str">
        <f>hourlyJava!L23</f>
        <v xml:space="preserve">
</v>
      </c>
      <c r="AS22" s="499"/>
      <c r="AT22" s="295" t="str">
        <f>hourlyJava!M23</f>
        <v xml:space="preserve">
</v>
      </c>
      <c r="AU22" s="297" t="str">
        <f>hourlyJava!N23</f>
        <v xml:space="preserve">
</v>
      </c>
      <c r="AV22" s="487" t="str">
        <f>hourlyJava!O23</f>
        <v xml:space="preserve">
</v>
      </c>
      <c r="AW22" s="487"/>
      <c r="AX22" s="183">
        <f t="shared" ref="AX22:AX31" si="12">F22/D22*100</f>
        <v>100</v>
      </c>
      <c r="AY22" s="184">
        <f>G22/SUM(D20:D22)*100</f>
        <v>94.444444444444457</v>
      </c>
      <c r="BA22" s="289">
        <f t="shared" ref="BA22:BA31" si="13">IF(F22&gt;0,SUM($F$19+G22)/($E$19+E22))*100</f>
        <v>32.334362139917694</v>
      </c>
      <c r="BB22" s="290">
        <f t="shared" si="9"/>
        <v>179.99999999999997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847.05882352941171</v>
      </c>
      <c r="F23" s="223">
        <f>IF(SUM(AL23:AQ23)=0,$D23,SUM(D23-AL23-AM23)-(AN23*60/AT2)-(AO23*60/AT2)-(AP23*60/AT2)-(AQ23*60/AT2))</f>
        <v>211.76470588235293</v>
      </c>
      <c r="G23" s="300">
        <f t="shared" si="10"/>
        <v>811.76470588235293</v>
      </c>
      <c r="H23" s="305">
        <f>VALUE(hourlyJava!E24)</f>
        <v>0</v>
      </c>
      <c r="I23" s="306">
        <f t="shared" si="11"/>
        <v>0</v>
      </c>
      <c r="J23" s="298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4" t="str">
        <f>hourlyJava!F24</f>
        <v>-</v>
      </c>
      <c r="AL23" s="247">
        <f>VALUE(hourlyJava!G24)</f>
        <v>0</v>
      </c>
      <c r="AM23" s="248"/>
      <c r="AN23" s="247">
        <f>VALUE(hourlyJava!H24)</f>
        <v>0</v>
      </c>
      <c r="AO23" s="247">
        <f>VALUE(hourlyJava!I24)</f>
        <v>0</v>
      </c>
      <c r="AP23" s="247">
        <f>VALUE(hourlyJava!J24)</f>
        <v>0</v>
      </c>
      <c r="AQ23" s="247">
        <f>VALUE(hourlyJava!K24)</f>
        <v>0</v>
      </c>
      <c r="AR23" s="498" t="str">
        <f>hourlyJava!L24</f>
        <v xml:space="preserve">
</v>
      </c>
      <c r="AS23" s="499"/>
      <c r="AT23" s="295" t="str">
        <f>hourlyJava!M24</f>
        <v xml:space="preserve">
</v>
      </c>
      <c r="AU23" s="297" t="str">
        <f>hourlyJava!N24</f>
        <v xml:space="preserve">
</v>
      </c>
      <c r="AV23" s="487" t="str">
        <f>hourlyJava!O24</f>
        <v xml:space="preserve">
</v>
      </c>
      <c r="AW23" s="487"/>
      <c r="AX23" s="183">
        <f t="shared" si="12"/>
        <v>100</v>
      </c>
      <c r="AY23" s="184">
        <f>G23/SUM(D20:D23)*100</f>
        <v>95.833333333333343</v>
      </c>
      <c r="BA23" s="289">
        <f t="shared" si="13"/>
        <v>33.159552845528459</v>
      </c>
      <c r="BB23" s="290">
        <f t="shared" si="9"/>
        <v>179.99999999999997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1058.8235294117646</v>
      </c>
      <c r="F24" s="223">
        <f>IF(SUM(AL24:AQ24)=0,$D24,SUM(D24-AL24-AM24)-(AN24*60/AT2)-(AO24*60/AT2)-(AP24*60/AT2)-(AQ24*60/AT2))</f>
        <v>211.76470588235293</v>
      </c>
      <c r="G24" s="300">
        <f t="shared" si="10"/>
        <v>1023.5294117647059</v>
      </c>
      <c r="H24" s="305">
        <f>VALUE(hourlyJava!E25)</f>
        <v>0</v>
      </c>
      <c r="I24" s="306">
        <f t="shared" si="11"/>
        <v>0</v>
      </c>
      <c r="J24" s="29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4" t="str">
        <f>hourlyJava!F25</f>
        <v>-</v>
      </c>
      <c r="AL24" s="247">
        <f>VALUE(hourlyJava!G25)</f>
        <v>0</v>
      </c>
      <c r="AM24" s="248"/>
      <c r="AN24" s="247">
        <f>VALUE(hourlyJava!H25)</f>
        <v>0</v>
      </c>
      <c r="AO24" s="247">
        <f>VALUE(hourlyJava!I25)</f>
        <v>0</v>
      </c>
      <c r="AP24" s="247">
        <f>VALUE(hourlyJava!J25)</f>
        <v>0</v>
      </c>
      <c r="AQ24" s="247">
        <f>VALUE(hourlyJava!K25)</f>
        <v>0</v>
      </c>
      <c r="AR24" s="498" t="str">
        <f>hourlyJava!L25</f>
        <v xml:space="preserve">
</v>
      </c>
      <c r="AS24" s="499"/>
      <c r="AT24" s="295" t="str">
        <f>hourlyJava!M25</f>
        <v xml:space="preserve">
</v>
      </c>
      <c r="AU24" s="297" t="str">
        <f>hourlyJava!N25</f>
        <v xml:space="preserve">
</v>
      </c>
      <c r="AV24" s="487" t="str">
        <f>hourlyJava!O25</f>
        <v xml:space="preserve">
</v>
      </c>
      <c r="AW24" s="487"/>
      <c r="AX24" s="183">
        <f t="shared" si="12"/>
        <v>100</v>
      </c>
      <c r="AY24" s="184">
        <f>G24/SUM(D20:D24)*100</f>
        <v>96.666666666666671</v>
      </c>
      <c r="BA24" s="289">
        <f t="shared" si="13"/>
        <v>33.964859437751002</v>
      </c>
      <c r="BB24" s="290">
        <f t="shared" si="9"/>
        <v>179.99999999999997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211.76470588235293</v>
      </c>
      <c r="E25" s="225">
        <f t="shared" si="8"/>
        <v>1270.5882352941176</v>
      </c>
      <c r="F25" s="223">
        <f>IF(SUM(AL25:AQ25)=0,$D25,SUM(D25-AL25-AM25)-(AN25*60/AT2)-(AO25*60/AT2)-(AP25*60/AT2)-(AQ25*60/AT2))</f>
        <v>211.76470588235293</v>
      </c>
      <c r="G25" s="300">
        <f t="shared" si="10"/>
        <v>1235.2941176470588</v>
      </c>
      <c r="H25" s="305">
        <f>VALUE(hourlyJava!E26)</f>
        <v>0</v>
      </c>
      <c r="I25" s="306">
        <f t="shared" si="11"/>
        <v>0</v>
      </c>
      <c r="J25" s="29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4" t="str">
        <f>hourlyJava!F26</f>
        <v>-</v>
      </c>
      <c r="AL25" s="247">
        <f>VALUE(hourlyJava!G26)</f>
        <v>0</v>
      </c>
      <c r="AM25" s="248"/>
      <c r="AN25" s="247">
        <f>VALUE(hourlyJava!H26)</f>
        <v>0</v>
      </c>
      <c r="AO25" s="247">
        <f>VALUE(hourlyJava!I26)</f>
        <v>0</v>
      </c>
      <c r="AP25" s="247">
        <f>VALUE(hourlyJava!J26)</f>
        <v>0</v>
      </c>
      <c r="AQ25" s="247">
        <f>VALUE(hourlyJava!K26)</f>
        <v>0</v>
      </c>
      <c r="AR25" s="498" t="str">
        <f>hourlyJava!L26</f>
        <v xml:space="preserve">
</v>
      </c>
      <c r="AS25" s="499"/>
      <c r="AT25" s="295" t="str">
        <f>hourlyJava!M26</f>
        <v xml:space="preserve">
</v>
      </c>
      <c r="AU25" s="297" t="str">
        <f>hourlyJava!N26</f>
        <v xml:space="preserve">
</v>
      </c>
      <c r="AV25" s="487" t="str">
        <f>hourlyJava!O26</f>
        <v xml:space="preserve">
</v>
      </c>
      <c r="AW25" s="487"/>
      <c r="AX25" s="183">
        <f t="shared" si="12"/>
        <v>100</v>
      </c>
      <c r="AY25" s="184">
        <f>G25/SUM(D20:D25)*100</f>
        <v>97.222222222222214</v>
      </c>
      <c r="BA25" s="289">
        <f t="shared" si="13"/>
        <v>34.750992063492056</v>
      </c>
      <c r="BB25" s="290">
        <f t="shared" si="9"/>
        <v>179.99999999999997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211.76470588235293</v>
      </c>
      <c r="E26" s="225">
        <f t="shared" si="8"/>
        <v>1482.3529411764705</v>
      </c>
      <c r="F26" s="223">
        <f>IF(SUM(AL26:AQ26)=0,$D26,SUM(D26-AL26-AM26)-(AN26*60/AT2)-(AO26*60/AT2)-(AP26*60/AT2)-(AQ26*60/AT2))</f>
        <v>211.76470588235293</v>
      </c>
      <c r="G26" s="300">
        <f t="shared" si="10"/>
        <v>1447.0588235294117</v>
      </c>
      <c r="H26" s="306">
        <f>VALUE(hourlyJava!E3)</f>
        <v>0</v>
      </c>
      <c r="I26" s="306">
        <f t="shared" si="11"/>
        <v>0</v>
      </c>
      <c r="J26" s="298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4" t="str">
        <f>hourlyJava!F3</f>
        <v>-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0</v>
      </c>
      <c r="AP26" s="247">
        <f>VALUE(hourlyJava!J3)</f>
        <v>0</v>
      </c>
      <c r="AQ26" s="247">
        <f>VALUE(hourlyJava!K3)</f>
        <v>0</v>
      </c>
      <c r="AR26" s="498" t="str">
        <f>hourlyJava!L3</f>
        <v xml:space="preserve">
</v>
      </c>
      <c r="AS26" s="499"/>
      <c r="AT26" s="295" t="str">
        <f>hourlyJava!M3</f>
        <v xml:space="preserve">
</v>
      </c>
      <c r="AU26" s="297" t="str">
        <f>hourlyJava!N3</f>
        <v xml:space="preserve">
</v>
      </c>
      <c r="AV26" s="487" t="str">
        <f>hourlyJava!O3</f>
        <v xml:space="preserve">
</v>
      </c>
      <c r="AW26" s="487"/>
      <c r="AX26" s="183">
        <f t="shared" si="12"/>
        <v>100</v>
      </c>
      <c r="AY26" s="184">
        <f>G26/SUM(D20:D26)*100</f>
        <v>97.61904761904762</v>
      </c>
      <c r="BA26" s="289">
        <f t="shared" si="13"/>
        <v>35.518627450980389</v>
      </c>
      <c r="BB26" s="290">
        <f t="shared" si="9"/>
        <v>179.99999999999997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211.76470588235293</v>
      </c>
      <c r="E27" s="225">
        <f t="shared" si="8"/>
        <v>1694.1176470588234</v>
      </c>
      <c r="F27" s="223">
        <f>IF(SUM(AL27:AQ27)=0,$D27,SUM(D27-AL27-AM27)-(AN27*60/AT2)-(AO27*60/AT2)-(AP27*60/AT2)-(AQ27*60/AT2))</f>
        <v>211.76470588235293</v>
      </c>
      <c r="G27" s="300">
        <f t="shared" si="10"/>
        <v>1658.8235294117646</v>
      </c>
      <c r="H27" s="306">
        <f>VALUE(hourlyJava!E4)</f>
        <v>0</v>
      </c>
      <c r="I27" s="306">
        <f t="shared" si="11"/>
        <v>0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4" t="str">
        <f>hourlyJava!F4</f>
        <v>-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0</v>
      </c>
      <c r="AP27" s="247">
        <f>VALUE(hourlyJava!J4)</f>
        <v>0</v>
      </c>
      <c r="AQ27" s="247">
        <f>VALUE(hourlyJava!K4)</f>
        <v>0</v>
      </c>
      <c r="AR27" s="498" t="str">
        <f>hourlyJava!L4</f>
        <v xml:space="preserve">
</v>
      </c>
      <c r="AS27" s="499"/>
      <c r="AT27" s="295" t="str">
        <f>hourlyJava!M4</f>
        <v xml:space="preserve">
</v>
      </c>
      <c r="AU27" s="297" t="str">
        <f>hourlyJava!N4</f>
        <v xml:space="preserve">
</v>
      </c>
      <c r="AV27" s="487" t="str">
        <f>hourlyJava!O4</f>
        <v xml:space="preserve">
</v>
      </c>
      <c r="AW27" s="487"/>
      <c r="AX27" s="221">
        <f>F27/D27*100</f>
        <v>100</v>
      </c>
      <c r="AY27" s="184">
        <f>G27/SUM(D20:D27)*100</f>
        <v>97.916666666666671</v>
      </c>
      <c r="BA27" s="289">
        <f t="shared" si="13"/>
        <v>36.268410852713181</v>
      </c>
      <c r="BB27" s="290">
        <f t="shared" si="9"/>
        <v>179.99999999999997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211.76470588235293</v>
      </c>
      <c r="E28" s="225">
        <f t="shared" si="8"/>
        <v>1905.8823529411764</v>
      </c>
      <c r="F28" s="223">
        <f>IF(SUM(AL28:AQ28)=0,$D28,SUM(D28-AL28-AM28)-(AN28*60/AT2)-(AO28*60/AT2)-(AP28*60/AT2)-(AQ28*60/AT2))</f>
        <v>211.76470588235293</v>
      </c>
      <c r="G28" s="300">
        <f t="shared" si="10"/>
        <v>1870.5882352941176</v>
      </c>
      <c r="H28" s="306">
        <f>VALUE(hourlyJava!E5)</f>
        <v>0</v>
      </c>
      <c r="I28" s="306">
        <f t="shared" si="11"/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hourlyJava!F5</f>
        <v>-</v>
      </c>
      <c r="AL28" s="247">
        <f>VALUE(hourlyJava!G5)</f>
        <v>0</v>
      </c>
      <c r="AM28" s="278"/>
      <c r="AN28" s="247">
        <f>VALUE(hourlyJava!H5)</f>
        <v>0</v>
      </c>
      <c r="AO28" s="247">
        <f>VALUE(hourlyJava!I5)</f>
        <v>0</v>
      </c>
      <c r="AP28" s="247">
        <f>VALUE(hourlyJava!J5)</f>
        <v>0</v>
      </c>
      <c r="AQ28" s="247">
        <f>VALUE(hourlyJava!K5)</f>
        <v>0</v>
      </c>
      <c r="AR28" s="498" t="str">
        <f>hourlyJava!L5</f>
        <v xml:space="preserve">
</v>
      </c>
      <c r="AS28" s="499"/>
      <c r="AT28" s="295" t="str">
        <f>hourlyJava!M5</f>
        <v xml:space="preserve">
</v>
      </c>
      <c r="AU28" s="297" t="str">
        <f>hourlyJava!N5</f>
        <v xml:space="preserve">
</v>
      </c>
      <c r="AV28" s="487" t="str">
        <f>hourlyJava!O5</f>
        <v xml:space="preserve">
</v>
      </c>
      <c r="AW28" s="487"/>
      <c r="AX28" s="183">
        <f>F28/D28*100</f>
        <v>100</v>
      </c>
      <c r="AY28" s="184">
        <f>G28/SUM(D20:D28)*100</f>
        <v>98.148148148148152</v>
      </c>
      <c r="BA28" s="289">
        <f t="shared" si="13"/>
        <v>37.000957854406138</v>
      </c>
      <c r="BB28" s="290">
        <f t="shared" si="9"/>
        <v>179.99999999999997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211.76470588235293</v>
      </c>
      <c r="E29" s="225">
        <f t="shared" si="8"/>
        <v>2117.6470588235293</v>
      </c>
      <c r="F29" s="223">
        <f>IF(SUM(AL29:AQ29)=0,$D29,SUM(D29-AL29-AM29)-(AN29*60/AT2)-(AO29*60/AT2)-(AP29*60/AT2)-(AQ29*60/AT2))</f>
        <v>211.76470588235293</v>
      </c>
      <c r="G29" s="300">
        <f t="shared" si="10"/>
        <v>2082.3529411764703</v>
      </c>
      <c r="H29" s="306">
        <f>VALUE(hourlyJava!E6)</f>
        <v>0</v>
      </c>
      <c r="I29" s="306">
        <f t="shared" si="11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hourlyJava!F6</f>
        <v>-</v>
      </c>
      <c r="AL29" s="247">
        <f>VALUE(hourlyJava!G6)</f>
        <v>0</v>
      </c>
      <c r="AM29" s="278"/>
      <c r="AN29" s="247">
        <f>VALUE(hourlyJava!H6)</f>
        <v>0</v>
      </c>
      <c r="AO29" s="247">
        <f>VALUE(hourlyJava!I6)</f>
        <v>0</v>
      </c>
      <c r="AP29" s="247">
        <f>VALUE(hourlyJava!J6)</f>
        <v>0</v>
      </c>
      <c r="AQ29" s="247">
        <f>VALUE(hourlyJava!K6)</f>
        <v>0</v>
      </c>
      <c r="AR29" s="498" t="str">
        <f>hourlyJava!L6</f>
        <v xml:space="preserve">
</v>
      </c>
      <c r="AS29" s="499"/>
      <c r="AT29" s="295" t="str">
        <f>hourlyJava!M6</f>
        <v xml:space="preserve">
</v>
      </c>
      <c r="AU29" s="297" t="str">
        <f>hourlyJava!N6</f>
        <v xml:space="preserve">
</v>
      </c>
      <c r="AV29" s="487" t="str">
        <f>hourlyJava!O6</f>
        <v xml:space="preserve">
</v>
      </c>
      <c r="AW29" s="487"/>
      <c r="AX29" s="183">
        <f t="shared" si="12"/>
        <v>100</v>
      </c>
      <c r="AY29" s="184">
        <f>G29/SUM(D20:D29)*100</f>
        <v>98.333333333333329</v>
      </c>
      <c r="BA29" s="289">
        <f t="shared" si="13"/>
        <v>37.716856060606062</v>
      </c>
      <c r="BB29" s="290">
        <f t="shared" si="9"/>
        <v>179.99999999999997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211.76470588235293</v>
      </c>
      <c r="E30" s="225">
        <f t="shared" si="8"/>
        <v>2329.411764705882</v>
      </c>
      <c r="F30" s="223">
        <f>IF(SUM(AL30:AQ30)=0,$D30,SUM(D30-AL30-AM30)-(AN30*60/AT2)-(AO30*60/AT2)-(AP30*60/AT2)-(AQ30*60/AT2))</f>
        <v>211.76470588235293</v>
      </c>
      <c r="G30" s="300">
        <f t="shared" si="10"/>
        <v>2294.1176470588234</v>
      </c>
      <c r="H30" s="306">
        <f>VALUE(hourlyJava!E7)</f>
        <v>0</v>
      </c>
      <c r="I30" s="306">
        <f t="shared" si="11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hourlyJava!F7</f>
        <v>-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498" t="str">
        <f>hourlyJava!L7</f>
        <v xml:space="preserve">
</v>
      </c>
      <c r="AS30" s="499"/>
      <c r="AT30" s="295" t="str">
        <f>hourlyJava!M7</f>
        <v xml:space="preserve">
</v>
      </c>
      <c r="AU30" s="297" t="str">
        <f>hourlyJava!N7</f>
        <v xml:space="preserve">
</v>
      </c>
      <c r="AV30" s="487" t="str">
        <f>hourlyJava!O7</f>
        <v xml:space="preserve">
</v>
      </c>
      <c r="AW30" s="487"/>
      <c r="AX30" s="183">
        <f t="shared" si="12"/>
        <v>100</v>
      </c>
      <c r="AY30" s="184">
        <f>G30/SUM(D20:D30)*100</f>
        <v>98.484848484848499</v>
      </c>
      <c r="BA30" s="289">
        <f>IF(F30&gt;0,SUM($F$19+G30)/($E$19+E30))*100</f>
        <v>38.416666666666671</v>
      </c>
      <c r="BB30" s="290">
        <f t="shared" si="9"/>
        <v>179.99999999999997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211.76470588235293</v>
      </c>
      <c r="E31" s="225">
        <f>E30+D31</f>
        <v>2541.1764705882351</v>
      </c>
      <c r="F31" s="223">
        <f>IF(SUM(AL31:AQ31)=0,$D31,SUM(D31-AL31-AM31)-(AN31*60/AT2)-(AO31*60/AT2)-(AP31*60/AT2)-(AQ31*60/AT2))</f>
        <v>211.76470588235293</v>
      </c>
      <c r="G31" s="300">
        <f>IF(F31=0,0,G30+F31)</f>
        <v>2505.8823529411766</v>
      </c>
      <c r="H31" s="306">
        <f>VALUE(hourlyJava!E8)</f>
        <v>0</v>
      </c>
      <c r="I31" s="306">
        <f>IF(H31=0,0,I30+H31)</f>
        <v>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4" t="str">
        <f>hourlyJava!F8</f>
        <v>-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498" t="str">
        <f>hourlyJava!L8</f>
        <v xml:space="preserve">
</v>
      </c>
      <c r="AS31" s="499"/>
      <c r="AT31" s="295" t="str">
        <f>hourlyJava!M8</f>
        <v xml:space="preserve">
</v>
      </c>
      <c r="AU31" s="297" t="str">
        <f>hourlyJava!N8</f>
        <v xml:space="preserve">
</v>
      </c>
      <c r="AV31" s="487" t="str">
        <f>hourlyJava!O8</f>
        <v xml:space="preserve">
</v>
      </c>
      <c r="AW31" s="487"/>
      <c r="AX31" s="183">
        <f t="shared" si="12"/>
        <v>100</v>
      </c>
      <c r="AY31" s="184">
        <f>G31/SUM(D20:D31)*100</f>
        <v>98.611111111111114</v>
      </c>
      <c r="BA31" s="289">
        <f t="shared" si="13"/>
        <v>39.100925925925928</v>
      </c>
      <c r="BB31" s="290">
        <f t="shared" si="9"/>
        <v>179.99999999999997</v>
      </c>
      <c r="BC31" s="279"/>
    </row>
    <row r="32" spans="2:57" ht="18" customHeight="1" thickBot="1">
      <c r="B32" s="451" t="s">
        <v>36</v>
      </c>
      <c r="C32" s="452"/>
      <c r="D32" s="233" t="s">
        <v>26</v>
      </c>
      <c r="E32" s="392">
        <f>SUM(E20:E31)</f>
        <v>16517.647058823528</v>
      </c>
      <c r="F32" s="446">
        <f>SUM(G20:G31)</f>
        <v>16094.117647058823</v>
      </c>
      <c r="G32" s="447"/>
      <c r="H32" s="504">
        <f>SUM(I20:I31)</f>
        <v>200</v>
      </c>
      <c r="I32" s="505"/>
      <c r="J32" s="443"/>
      <c r="K32" s="444"/>
      <c r="L32" s="444"/>
      <c r="M32" s="444"/>
      <c r="N32" s="444"/>
      <c r="O32" s="444"/>
      <c r="P32" s="444"/>
      <c r="Q32" s="444"/>
      <c r="R32" s="444"/>
      <c r="S32" s="444"/>
      <c r="T32" s="444"/>
      <c r="U32" s="444"/>
      <c r="V32" s="444"/>
      <c r="W32" s="444"/>
      <c r="X32" s="444"/>
      <c r="Y32" s="444"/>
      <c r="Z32" s="444"/>
      <c r="AA32" s="444"/>
      <c r="AB32" s="444"/>
      <c r="AC32" s="444"/>
      <c r="AD32" s="444"/>
      <c r="AE32" s="444"/>
      <c r="AF32" s="444"/>
      <c r="AG32" s="444"/>
      <c r="AH32" s="444"/>
      <c r="AI32" s="444"/>
      <c r="AJ32" s="445"/>
      <c r="AK32" s="206"/>
      <c r="AL32" s="396">
        <f t="shared" ref="AL32:AQ32" si="14">SUM(AL20:AL31)</f>
        <v>0</v>
      </c>
      <c r="AM32" s="402">
        <f t="shared" si="14"/>
        <v>0</v>
      </c>
      <c r="AN32" s="207">
        <f t="shared" si="14"/>
        <v>0</v>
      </c>
      <c r="AO32" s="208">
        <f t="shared" si="14"/>
        <v>10</v>
      </c>
      <c r="AP32" s="209">
        <f t="shared" si="14"/>
        <v>0</v>
      </c>
      <c r="AQ32" s="209">
        <f t="shared" si="14"/>
        <v>0</v>
      </c>
      <c r="AR32" s="210"/>
      <c r="AS32" s="211"/>
      <c r="AT32" s="212"/>
      <c r="AU32" s="213"/>
      <c r="AV32" s="488"/>
      <c r="AW32" s="488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0.98611111111111116</v>
      </c>
      <c r="BA32" s="289"/>
      <c r="BC32" s="279"/>
    </row>
    <row r="33" spans="1:55" ht="18" customHeight="1" thickBot="1">
      <c r="B33" s="440" t="s">
        <v>137</v>
      </c>
      <c r="C33" s="441"/>
      <c r="D33" s="441"/>
      <c r="E33" s="442"/>
      <c r="F33" s="398"/>
      <c r="G33" s="399"/>
      <c r="H33" s="438">
        <f>H34/E34</f>
        <v>0.14678240740740742</v>
      </c>
      <c r="I33" s="439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93"/>
      <c r="AL33" s="403">
        <f>IF(SUM(AL34:AQ34)=0,0, ((100%-H33)*AL34)/SUM(AL34:AQ34))</f>
        <v>7.5505981645362166E-3</v>
      </c>
      <c r="AM33" s="402"/>
      <c r="AN33" s="404">
        <f>IF(SUM(AL34:AQ34)=0,0, ((100%-H33)*AN34)/SUM(AL34:AQ34) )</f>
        <v>0.31460825685567573</v>
      </c>
      <c r="AO33" s="405">
        <f>IF(SUM(AL34:AQ34)=0,0, ((100%-H33)*AO34)/SUM(AL34:AQ34) )</f>
        <v>0.38004677428165623</v>
      </c>
      <c r="AP33" s="406">
        <f>IF(SUM(AL34:AQ34)=0,0, ((100%-H33)*AP34)/SUM(AL34:AQ34) )</f>
        <v>0.15101196329072433</v>
      </c>
      <c r="AQ33" s="406">
        <f>IF(SUM(AL34:AQ34)=0,0, ((100%-H33)*AQ34)/SUM(AL34:AQ34) )</f>
        <v>0</v>
      </c>
      <c r="AR33" s="210"/>
      <c r="AS33" s="394"/>
      <c r="AT33" s="212"/>
      <c r="AU33" s="395"/>
      <c r="AV33" s="400"/>
      <c r="AW33" s="400"/>
      <c r="AX33" s="396"/>
      <c r="AY33" s="397"/>
      <c r="BA33" s="289"/>
      <c r="BC33" s="279"/>
    </row>
    <row r="34" spans="1:55" ht="18" customHeight="1" thickBot="1">
      <c r="B34" s="495" t="s">
        <v>49</v>
      </c>
      <c r="C34" s="496"/>
      <c r="D34" s="497"/>
      <c r="E34" s="234">
        <f>E19+E32</f>
        <v>33035.294117647056</v>
      </c>
      <c r="F34" s="446">
        <f>SUM(F7:F18,F20:F31)</f>
        <v>3893.4705882352955</v>
      </c>
      <c r="G34" s="447"/>
      <c r="H34" s="446">
        <f>SUM(I7:I18,I20:I31)</f>
        <v>4849</v>
      </c>
      <c r="I34" s="447"/>
      <c r="J34" s="492" t="s">
        <v>49</v>
      </c>
      <c r="K34" s="493"/>
      <c r="L34" s="493"/>
      <c r="M34" s="493"/>
      <c r="N34" s="493"/>
      <c r="O34" s="493"/>
      <c r="P34" s="493"/>
      <c r="Q34" s="493"/>
      <c r="R34" s="493"/>
      <c r="S34" s="493"/>
      <c r="T34" s="493"/>
      <c r="U34" s="493"/>
      <c r="V34" s="493"/>
      <c r="W34" s="493"/>
      <c r="X34" s="493"/>
      <c r="Y34" s="493"/>
      <c r="Z34" s="493"/>
      <c r="AA34" s="493"/>
      <c r="AB34" s="493"/>
      <c r="AC34" s="493"/>
      <c r="AD34" s="493"/>
      <c r="AE34" s="493"/>
      <c r="AF34" s="493"/>
      <c r="AG34" s="493"/>
      <c r="AH34" s="493"/>
      <c r="AI34" s="493"/>
      <c r="AJ34" s="493"/>
      <c r="AK34" s="494"/>
      <c r="AL34" s="219">
        <f t="shared" ref="AL34:AQ34" si="15">AL19+AL32</f>
        <v>3</v>
      </c>
      <c r="AM34" s="401">
        <f t="shared" si="15"/>
        <v>0</v>
      </c>
      <c r="AN34" s="189">
        <f t="shared" si="15"/>
        <v>125</v>
      </c>
      <c r="AO34" s="189">
        <f t="shared" si="15"/>
        <v>151</v>
      </c>
      <c r="AP34" s="189">
        <f t="shared" si="15"/>
        <v>60</v>
      </c>
      <c r="AQ34" s="228">
        <f t="shared" si="15"/>
        <v>0</v>
      </c>
      <c r="AR34" s="490"/>
      <c r="AS34" s="491"/>
      <c r="AT34" s="187"/>
      <c r="AU34" s="220"/>
      <c r="AV34" s="188"/>
      <c r="AW34" s="229"/>
      <c r="AX34" s="451" t="s">
        <v>72</v>
      </c>
      <c r="AY34" s="452"/>
      <c r="BA34" s="289"/>
      <c r="BC34" s="279"/>
    </row>
    <row r="35" spans="1:55" s="4" customFormat="1" ht="3" customHeight="1" thickBot="1">
      <c r="A35" s="1"/>
      <c r="B35" s="407"/>
      <c r="C35" s="407"/>
      <c r="D35" s="407"/>
      <c r="E35" s="407"/>
      <c r="F35" s="407"/>
      <c r="G35" s="407"/>
      <c r="H35" s="407"/>
      <c r="I35" s="407"/>
      <c r="J35" s="407"/>
      <c r="K35" s="407"/>
      <c r="L35" s="407"/>
      <c r="M35" s="407"/>
      <c r="N35" s="407"/>
      <c r="O35" s="407"/>
      <c r="P35" s="407"/>
      <c r="Q35" s="407"/>
      <c r="R35" s="407"/>
      <c r="S35" s="407"/>
      <c r="T35" s="407"/>
      <c r="U35" s="407"/>
      <c r="V35" s="407"/>
      <c r="W35" s="407"/>
      <c r="X35" s="407"/>
      <c r="Y35" s="407"/>
      <c r="Z35" s="407"/>
      <c r="AA35" s="407"/>
      <c r="AB35" s="407"/>
      <c r="AC35" s="407"/>
      <c r="AD35" s="407"/>
      <c r="AE35" s="407"/>
      <c r="AF35" s="407"/>
      <c r="AG35" s="407"/>
      <c r="AH35" s="407"/>
      <c r="AI35" s="407"/>
      <c r="AJ35" s="407"/>
      <c r="AK35" s="489"/>
      <c r="AL35" s="489"/>
      <c r="AM35" s="489"/>
      <c r="AN35" s="489"/>
      <c r="AO35" s="489"/>
      <c r="AP35" s="489"/>
      <c r="AQ35" s="489"/>
      <c r="AR35" s="489"/>
      <c r="AS35" s="489"/>
      <c r="AT35" s="489"/>
      <c r="AU35" s="489"/>
      <c r="AV35" s="489"/>
      <c r="AW35" s="489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481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0.39100925925925928</v>
      </c>
      <c r="AY36" s="482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483"/>
      <c r="AY37" s="484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485"/>
      <c r="AY38" s="486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 t="s">
        <v>71</v>
      </c>
    </row>
  </sheetData>
  <sheetProtection selectLockedCells="1"/>
  <mergeCells count="93"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  <mergeCell ref="AR17:AS17"/>
    <mergeCell ref="AR18:AS18"/>
    <mergeCell ref="AV17:AW17"/>
    <mergeCell ref="AV16:AW16"/>
    <mergeCell ref="AV15:AW15"/>
    <mergeCell ref="AR12:AS12"/>
    <mergeCell ref="AR13:AS13"/>
    <mergeCell ref="AR14:AS14"/>
    <mergeCell ref="AR15:AS15"/>
    <mergeCell ref="AR16:AS16"/>
    <mergeCell ref="AR7:AS7"/>
    <mergeCell ref="AR8:AS8"/>
    <mergeCell ref="AR9:AS9"/>
    <mergeCell ref="AR10:AS10"/>
    <mergeCell ref="AR11:AS11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I6:AJ6"/>
    <mergeCell ref="AR6:AS6"/>
    <mergeCell ref="K6:L6"/>
    <mergeCell ref="M6:N6"/>
    <mergeCell ref="O6:P6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X5:AY5"/>
    <mergeCell ref="J5:AJ5"/>
    <mergeCell ref="AL5:AM5"/>
    <mergeCell ref="AN5:AQ5"/>
    <mergeCell ref="AR5:AW5"/>
    <mergeCell ref="AN2:AS2"/>
    <mergeCell ref="B4:AW4"/>
    <mergeCell ref="D5:E5"/>
    <mergeCell ref="F2:AJ2"/>
    <mergeCell ref="F3:AJ3"/>
    <mergeCell ref="F5:G5"/>
    <mergeCell ref="H5:I5"/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</mergeCells>
  <conditionalFormatting sqref="F7:F18">
    <cfRule type="expression" dxfId="30" priority="47">
      <formula>$F7=0</formula>
    </cfRule>
    <cfRule type="expression" dxfId="29" priority="51">
      <formula>$F7&gt;$BB7</formula>
    </cfRule>
    <cfRule type="expression" dxfId="28" priority="52">
      <formula>$F7&lt;$BB7</formula>
    </cfRule>
    <cfRule type="expression" dxfId="27" priority="53">
      <formula>$F7=$BB7</formula>
    </cfRule>
  </conditionalFormatting>
  <conditionalFormatting sqref="F20:F31">
    <cfRule type="expression" dxfId="26" priority="38">
      <formula>$F20=0</formula>
    </cfRule>
    <cfRule type="expression" dxfId="25" priority="39">
      <formula>$F20&gt;$BB20</formula>
    </cfRule>
    <cfRule type="expression" dxfId="24" priority="40">
      <formula>$F20&lt;$BB20</formula>
    </cfRule>
    <cfRule type="expression" dxfId="23" priority="41">
      <formula>$F20=$BB20</formula>
    </cfRule>
  </conditionalFormatting>
  <conditionalFormatting sqref="AX36:AY38">
    <cfRule type="expression" dxfId="22" priority="11">
      <formula>$AX$36=0</formula>
    </cfRule>
    <cfRule type="expression" dxfId="21" priority="27">
      <formula>$AX$36&gt;$AX$3</formula>
    </cfRule>
    <cfRule type="expression" dxfId="20" priority="28">
      <formula>$AX$36=$AX$3</formula>
    </cfRule>
    <cfRule type="expression" dxfId="19" priority="29">
      <formula>$AX$36&lt;$AX$3</formula>
    </cfRule>
  </conditionalFormatting>
  <conditionalFormatting sqref="B19:H19 J19:AY19">
    <cfRule type="expression" dxfId="18" priority="12">
      <formula>$AY$19=0</formula>
    </cfRule>
    <cfRule type="expression" dxfId="17" priority="21">
      <formula>$AY$19&gt;$AX$3</formula>
    </cfRule>
    <cfRule type="expression" dxfId="16" priority="22">
      <formula>$AY$19=$AX$3</formula>
    </cfRule>
    <cfRule type="expression" dxfId="15" priority="23">
      <formula>$AY$19&lt;$AX$3</formula>
    </cfRule>
  </conditionalFormatting>
  <conditionalFormatting sqref="B32:H32 J33:AY33 B33 F33:H33 J32 AK32:AY32">
    <cfRule type="expression" dxfId="14" priority="14">
      <formula>$AY$32=0</formula>
    </cfRule>
    <cfRule type="expression" dxfId="13" priority="18">
      <formula>$AY$32=$AX$3</formula>
    </cfRule>
    <cfRule type="expression" dxfId="12" priority="19">
      <formula>$AY$32&gt;$AX$3</formula>
    </cfRule>
    <cfRule type="expression" dxfId="11" priority="20">
      <formula>$AY$32&lt;$AX$3</formula>
    </cfRule>
  </conditionalFormatting>
  <conditionalFormatting sqref="H7:H18">
    <cfRule type="expression" dxfId="10" priority="6">
      <formula>AND($H7&gt;$F7, $H7&gt;$D7)</formula>
    </cfRule>
    <cfRule type="expression" dxfId="9" priority="7">
      <formula>AND($H7&gt;$F7,$H7&lt;$D7)</formula>
    </cfRule>
    <cfRule type="expression" dxfId="8" priority="8">
      <formula>AND($H7&lt;$F7,$H7&lt;$D7)</formula>
    </cfRule>
    <cfRule type="expression" dxfId="7" priority="9">
      <formula>$H7=0</formula>
    </cfRule>
    <cfRule type="expression" dxfId="6" priority="10">
      <formula>AND($H7=$F7,$H7=$D7)</formula>
    </cfRule>
  </conditionalFormatting>
  <conditionalFormatting sqref="H20:H31">
    <cfRule type="expression" dxfId="5" priority="1">
      <formula>AND($H20&gt;$F20, $H20&gt;$D20)</formula>
    </cfRule>
    <cfRule type="expression" dxfId="4" priority="2">
      <formula>AND($H20&gt;$F20,$H20&lt;$D20)</formula>
    </cfRule>
    <cfRule type="expression" dxfId="3" priority="3">
      <formula>AND($H20&lt;$F20,$H20&lt;$D20)</formula>
    </cfRule>
    <cfRule type="expression" dxfId="2" priority="4">
      <formula>$H20=0</formula>
    </cfRule>
    <cfRule type="expression" dxfId="1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ignoredErrors>
    <ignoredError sqref="B13" twoDigitTextYear="1"/>
  </ignoredError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tabSelected="1" topLeftCell="AA19" zoomScale="60" zoomScaleNormal="60" workbookViewId="0">
      <selection activeCell="BD54" sqref="BD54"/>
    </sheetView>
  </sheetViews>
  <sheetFormatPr defaultColWidth="11.453125" defaultRowHeight="14.5"/>
  <cols>
    <col min="1" max="1" width="4" style="307" customWidth="1"/>
    <col min="2" max="2" width="16.26953125" style="307" customWidth="1"/>
    <col min="3" max="3" width="27.453125" style="307" customWidth="1"/>
    <col min="4" max="4" width="4.26953125" style="307" customWidth="1"/>
    <col min="5" max="5" width="8.81640625" style="307" customWidth="1"/>
    <col min="6" max="7" width="7.7265625" style="307" customWidth="1"/>
    <col min="8" max="8" width="2.26953125" style="307" customWidth="1"/>
    <col min="9" max="9" width="1.7265625" style="307" customWidth="1"/>
    <col min="10" max="10" width="4.26953125" style="307" customWidth="1"/>
    <col min="11" max="16" width="7.7265625" style="307" customWidth="1"/>
    <col min="17" max="17" width="16.1796875" style="307" customWidth="1"/>
    <col min="18" max="19" width="0" style="307" hidden="1" customWidth="1"/>
    <col min="20" max="21" width="6.81640625" style="307" customWidth="1"/>
    <col min="22" max="22" width="21.7265625" style="307" customWidth="1"/>
    <col min="23" max="24" width="0" style="307" hidden="1" customWidth="1"/>
    <col min="25" max="25" width="11.453125" style="307"/>
    <col min="26" max="26" width="26.1796875" style="307" customWidth="1"/>
    <col min="27" max="27" width="15.1796875" style="307" customWidth="1"/>
    <col min="28" max="28" width="10.54296875" style="307" customWidth="1"/>
    <col min="29" max="29" width="8.7265625" style="307" customWidth="1"/>
    <col min="30" max="30" width="8.453125" style="307" customWidth="1"/>
    <col min="31" max="31" width="8.453125" style="307" bestFit="1" customWidth="1"/>
    <col min="32" max="33" width="7.54296875" style="307" customWidth="1"/>
    <col min="34" max="45" width="6.7265625" style="307" customWidth="1"/>
    <col min="46" max="46" width="7" style="307" customWidth="1"/>
    <col min="47" max="47" width="8.453125" style="307" customWidth="1"/>
    <col min="48" max="61" width="6.7265625" style="307" customWidth="1"/>
    <col min="62" max="62" width="8.453125" style="307" customWidth="1"/>
    <col min="63" max="67" width="6.7265625" style="307" customWidth="1"/>
    <col min="68" max="68" width="7.54296875" style="307" customWidth="1"/>
    <col min="69" max="69" width="6.7265625" style="307" customWidth="1"/>
    <col min="70" max="70" width="5.453125" style="307" customWidth="1"/>
    <col min="71" max="86" width="6.7265625" style="307" customWidth="1"/>
    <col min="87" max="87" width="7.26953125" style="307" customWidth="1"/>
    <col min="88" max="88" width="6.54296875" style="307" customWidth="1"/>
    <col min="89" max="89" width="7.81640625" style="307" customWidth="1"/>
    <col min="90" max="90" width="7.453125" style="307" customWidth="1"/>
    <col min="91" max="91" width="7" style="307" customWidth="1"/>
    <col min="92" max="92" width="7.453125" style="307" customWidth="1"/>
    <col min="93" max="93" width="7.26953125" style="307" customWidth="1"/>
    <col min="94" max="94" width="6.81640625" style="307" customWidth="1"/>
    <col min="95" max="96" width="15.7265625" style="307" customWidth="1"/>
    <col min="97" max="97" width="20.1796875" style="307" customWidth="1"/>
    <col min="98" max="99" width="6.7265625" style="307" customWidth="1"/>
    <col min="100" max="107" width="15.7265625" style="307" customWidth="1"/>
    <col min="108" max="110" width="14" style="307" customWidth="1"/>
    <col min="111" max="193" width="6.7265625" style="307" customWidth="1"/>
    <col min="194" max="16384" width="11.453125" style="307"/>
  </cols>
  <sheetData>
    <row r="1" spans="1:85" ht="12.75" customHeight="1" thickTop="1">
      <c r="A1" s="509" t="s">
        <v>134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3" t="s">
        <v>133</v>
      </c>
      <c r="Q1" s="513"/>
      <c r="R1" s="514"/>
      <c r="S1" s="517">
        <f>Proposal!AT3</f>
        <v>43039</v>
      </c>
      <c r="T1" s="518"/>
      <c r="U1" s="518"/>
      <c r="V1" s="519"/>
    </row>
    <row r="2" spans="1:85" ht="12.75" customHeight="1">
      <c r="A2" s="511"/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5"/>
      <c r="Q2" s="515"/>
      <c r="R2" s="516"/>
      <c r="S2" s="520"/>
      <c r="T2" s="521"/>
      <c r="U2" s="521"/>
      <c r="V2" s="522"/>
    </row>
    <row r="3" spans="1:85" ht="12.75" customHeight="1">
      <c r="A3" s="526" t="str">
        <f>Proposal!F3</f>
        <v>L003</v>
      </c>
      <c r="B3" s="527"/>
      <c r="C3" s="527"/>
      <c r="D3" s="527"/>
      <c r="E3" s="527"/>
      <c r="F3" s="527"/>
      <c r="G3" s="527"/>
      <c r="H3" s="527"/>
      <c r="I3" s="527"/>
      <c r="J3" s="527"/>
      <c r="K3" s="527"/>
      <c r="L3" s="527"/>
      <c r="M3" s="527"/>
      <c r="N3" s="527"/>
      <c r="O3" s="527"/>
      <c r="P3" s="515"/>
      <c r="Q3" s="515"/>
      <c r="R3" s="516"/>
      <c r="S3" s="520"/>
      <c r="T3" s="521"/>
      <c r="U3" s="521"/>
      <c r="V3" s="522"/>
    </row>
    <row r="4" spans="1:85" ht="12.75" customHeight="1" thickBot="1">
      <c r="A4" s="526"/>
      <c r="B4" s="527"/>
      <c r="C4" s="527"/>
      <c r="D4" s="527"/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27"/>
      <c r="P4" s="515"/>
      <c r="Q4" s="515"/>
      <c r="R4" s="516"/>
      <c r="S4" s="523"/>
      <c r="T4" s="524"/>
      <c r="U4" s="524"/>
      <c r="V4" s="525"/>
    </row>
    <row r="5" spans="1:85" ht="12.75" customHeight="1" thickTop="1" thickBot="1">
      <c r="A5" s="391"/>
      <c r="B5" s="389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90"/>
      <c r="S5" s="389"/>
      <c r="T5" s="389"/>
      <c r="U5" s="389"/>
      <c r="V5" s="388"/>
      <c r="W5" s="387"/>
      <c r="X5" s="386"/>
      <c r="Y5" s="309"/>
      <c r="Z5" s="309"/>
      <c r="AB5" s="528" t="str">
        <f>A3</f>
        <v>L003</v>
      </c>
      <c r="AC5" s="506">
        <v>43009</v>
      </c>
      <c r="AD5" s="507"/>
      <c r="AE5" s="507"/>
      <c r="AF5" s="507"/>
      <c r="AG5" s="507"/>
      <c r="AH5" s="507"/>
      <c r="AI5" s="507"/>
      <c r="AJ5" s="508"/>
      <c r="AK5" s="506">
        <v>43010</v>
      </c>
      <c r="AL5" s="507"/>
      <c r="AM5" s="507"/>
      <c r="AN5" s="507"/>
      <c r="AO5" s="507"/>
      <c r="AP5" s="507"/>
      <c r="AQ5" s="507"/>
      <c r="AR5" s="508"/>
    </row>
    <row r="6" spans="1:85" ht="12.75" customHeight="1" thickBot="1">
      <c r="A6" s="325"/>
      <c r="B6" s="540"/>
      <c r="C6" s="381"/>
      <c r="D6" s="381"/>
      <c r="E6" s="381"/>
      <c r="F6" s="381"/>
      <c r="G6" s="381"/>
      <c r="H6" s="324"/>
      <c r="I6" s="324"/>
      <c r="J6" s="541"/>
      <c r="K6" s="381"/>
      <c r="L6" s="542"/>
      <c r="M6" s="542"/>
      <c r="N6" s="381"/>
      <c r="O6" s="381"/>
      <c r="P6" s="381"/>
      <c r="Q6" s="381"/>
      <c r="R6" s="381"/>
      <c r="S6" s="345"/>
      <c r="T6" s="345"/>
      <c r="U6" s="345"/>
      <c r="V6" s="333"/>
      <c r="W6" s="309"/>
      <c r="X6" s="385"/>
      <c r="Y6" s="309"/>
      <c r="Z6" s="309"/>
      <c r="AB6" s="529"/>
      <c r="AC6" s="371" t="s">
        <v>132</v>
      </c>
      <c r="AD6" s="370" t="s">
        <v>131</v>
      </c>
      <c r="AE6" s="369" t="s">
        <v>130</v>
      </c>
      <c r="AF6" s="368" t="s">
        <v>129</v>
      </c>
      <c r="AG6" s="368" t="s">
        <v>128</v>
      </c>
      <c r="AH6" s="367" t="s">
        <v>127</v>
      </c>
      <c r="AI6" s="366" t="s">
        <v>126</v>
      </c>
      <c r="AJ6" s="365" t="s">
        <v>125</v>
      </c>
      <c r="AK6" s="371" t="s">
        <v>132</v>
      </c>
      <c r="AL6" s="370" t="s">
        <v>131</v>
      </c>
      <c r="AM6" s="369" t="s">
        <v>130</v>
      </c>
      <c r="AN6" s="368" t="s">
        <v>129</v>
      </c>
      <c r="AO6" s="368" t="s">
        <v>128</v>
      </c>
      <c r="AP6" s="367" t="s">
        <v>127</v>
      </c>
      <c r="AQ6" s="366" t="s">
        <v>126</v>
      </c>
      <c r="AR6" s="365" t="s">
        <v>125</v>
      </c>
    </row>
    <row r="7" spans="1:85" ht="12.75" customHeight="1" thickTop="1" thickBot="1">
      <c r="A7" s="325"/>
      <c r="B7" s="540"/>
      <c r="C7" s="384"/>
      <c r="D7" s="383"/>
      <c r="E7" s="382"/>
      <c r="F7" s="382"/>
      <c r="G7" s="382"/>
      <c r="H7" s="324"/>
      <c r="I7" s="324"/>
      <c r="J7" s="541"/>
      <c r="K7" s="382"/>
      <c r="L7" s="542"/>
      <c r="M7" s="542"/>
      <c r="N7" s="382"/>
      <c r="O7" s="382"/>
      <c r="P7" s="382"/>
      <c r="Q7" s="382"/>
      <c r="R7" s="381"/>
      <c r="S7" s="345"/>
      <c r="T7" s="345"/>
      <c r="U7" s="345"/>
      <c r="V7" s="380"/>
      <c r="W7" s="379">
        <v>2</v>
      </c>
      <c r="X7" s="378" t="e">
        <v>#NAME?</v>
      </c>
      <c r="Y7" s="377"/>
      <c r="Z7" s="377"/>
      <c r="AB7" s="530"/>
      <c r="AC7" s="364"/>
      <c r="AD7" s="363"/>
      <c r="AE7" s="362"/>
      <c r="AF7" s="362"/>
      <c r="AG7" s="362"/>
      <c r="AH7" s="362"/>
      <c r="AI7" s="362"/>
      <c r="AJ7" s="361"/>
      <c r="AK7" s="364"/>
      <c r="AL7" s="363"/>
      <c r="AM7" s="362"/>
      <c r="AN7" s="362"/>
      <c r="AO7" s="362"/>
      <c r="AP7" s="362"/>
      <c r="AQ7" s="362"/>
      <c r="AR7" s="361"/>
    </row>
    <row r="8" spans="1:85" ht="12.75" customHeight="1" thickTop="1">
      <c r="A8" s="325"/>
      <c r="B8" s="540"/>
      <c r="C8" s="373"/>
      <c r="D8" s="346"/>
      <c r="E8" s="345"/>
      <c r="F8" s="345"/>
      <c r="G8" s="345"/>
      <c r="H8" s="324"/>
      <c r="I8" s="324"/>
      <c r="J8" s="541"/>
      <c r="K8" s="345"/>
      <c r="L8" s="542"/>
      <c r="M8" s="542"/>
      <c r="N8" s="345"/>
      <c r="O8" s="345"/>
      <c r="P8" s="345"/>
      <c r="Q8" s="345"/>
      <c r="R8" s="345"/>
      <c r="S8" s="345"/>
      <c r="T8" s="345"/>
      <c r="U8" s="345"/>
      <c r="V8" s="323"/>
      <c r="W8" s="376" t="e">
        <v>#NAME?</v>
      </c>
      <c r="X8" s="375" t="s">
        <v>135</v>
      </c>
      <c r="Y8" s="374"/>
      <c r="Z8" s="374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2"/>
      <c r="AP8" s="332"/>
      <c r="AQ8" s="332"/>
      <c r="AR8" s="332"/>
    </row>
    <row r="9" spans="1:85" ht="12.75" customHeight="1" thickBot="1">
      <c r="A9" s="325"/>
      <c r="B9" s="540"/>
      <c r="C9" s="373"/>
      <c r="D9" s="346"/>
      <c r="E9" s="345"/>
      <c r="F9" s="345"/>
      <c r="G9" s="345"/>
      <c r="H9" s="324"/>
      <c r="I9" s="324"/>
      <c r="J9" s="541"/>
      <c r="K9" s="345"/>
      <c r="L9" s="542"/>
      <c r="M9" s="542"/>
      <c r="N9" s="345"/>
      <c r="O9" s="345"/>
      <c r="P9" s="345"/>
      <c r="Q9" s="345"/>
      <c r="R9" s="345"/>
      <c r="S9" s="345"/>
      <c r="T9" s="345"/>
      <c r="U9" s="345"/>
      <c r="V9" s="333"/>
      <c r="W9" s="309" t="e">
        <v>#NAME?</v>
      </c>
      <c r="X9" s="355"/>
      <c r="Y9" s="339"/>
      <c r="Z9" s="339"/>
    </row>
    <row r="10" spans="1:85" ht="12.75" customHeight="1" thickTop="1" thickBot="1">
      <c r="A10" s="325"/>
      <c r="B10" s="540"/>
      <c r="C10" s="373"/>
      <c r="D10" s="346"/>
      <c r="E10" s="345"/>
      <c r="F10" s="345"/>
      <c r="G10" s="345"/>
      <c r="H10" s="324"/>
      <c r="I10" s="324"/>
      <c r="J10" s="541"/>
      <c r="K10" s="345"/>
      <c r="L10" s="542"/>
      <c r="M10" s="542"/>
      <c r="N10" s="345"/>
      <c r="O10" s="345"/>
      <c r="P10" s="345"/>
      <c r="Q10" s="345"/>
      <c r="R10" s="345"/>
      <c r="S10" s="345"/>
      <c r="T10" s="345"/>
      <c r="U10" s="345"/>
      <c r="V10" s="333"/>
      <c r="W10" s="309" t="e">
        <v>#NAME?</v>
      </c>
      <c r="X10" s="355" t="e">
        <v>#NAME?</v>
      </c>
      <c r="Y10" s="339"/>
      <c r="Z10" s="339"/>
      <c r="AB10" s="528" t="str">
        <f>A3</f>
        <v>L003</v>
      </c>
      <c r="AC10" s="506">
        <v>43011</v>
      </c>
      <c r="AD10" s="507"/>
      <c r="AE10" s="507"/>
      <c r="AF10" s="507"/>
      <c r="AG10" s="507"/>
      <c r="AH10" s="507"/>
      <c r="AI10" s="507"/>
      <c r="AJ10" s="508"/>
      <c r="AK10" s="506">
        <v>43012</v>
      </c>
      <c r="AL10" s="507"/>
      <c r="AM10" s="507"/>
      <c r="AN10" s="507"/>
      <c r="AO10" s="507"/>
      <c r="AP10" s="507"/>
      <c r="AQ10" s="507"/>
      <c r="AR10" s="508"/>
      <c r="AS10" s="506">
        <v>43013</v>
      </c>
      <c r="AT10" s="507"/>
      <c r="AU10" s="507"/>
      <c r="AV10" s="507"/>
      <c r="AW10" s="507"/>
      <c r="AX10" s="507"/>
      <c r="AY10" s="507"/>
      <c r="AZ10" s="508"/>
      <c r="BA10" s="506">
        <v>43014</v>
      </c>
      <c r="BB10" s="507"/>
      <c r="BC10" s="507"/>
      <c r="BD10" s="507"/>
      <c r="BE10" s="507"/>
      <c r="BF10" s="507"/>
      <c r="BG10" s="507"/>
      <c r="BH10" s="508"/>
      <c r="BI10" s="506">
        <v>43015</v>
      </c>
      <c r="BJ10" s="507"/>
      <c r="BK10" s="507"/>
      <c r="BL10" s="507"/>
      <c r="BM10" s="507"/>
      <c r="BN10" s="507"/>
      <c r="BO10" s="507"/>
      <c r="BP10" s="508"/>
      <c r="BQ10" s="506">
        <v>43016</v>
      </c>
      <c r="BR10" s="507"/>
      <c r="BS10" s="507"/>
      <c r="BT10" s="507"/>
      <c r="BU10" s="507"/>
      <c r="BV10" s="507"/>
      <c r="BW10" s="507"/>
      <c r="BX10" s="508"/>
      <c r="BY10" s="506">
        <v>43017</v>
      </c>
      <c r="BZ10" s="507"/>
      <c r="CA10" s="507"/>
      <c r="CB10" s="507"/>
      <c r="CC10" s="507"/>
      <c r="CD10" s="507"/>
      <c r="CE10" s="507"/>
      <c r="CF10" s="508"/>
    </row>
    <row r="11" spans="1:85" ht="12.75" customHeight="1" thickBot="1">
      <c r="A11" s="325"/>
      <c r="B11" s="540"/>
      <c r="C11" s="373"/>
      <c r="D11" s="346"/>
      <c r="E11" s="345"/>
      <c r="F11" s="345"/>
      <c r="G11" s="345"/>
      <c r="H11" s="324"/>
      <c r="I11" s="324"/>
      <c r="J11" s="541"/>
      <c r="K11" s="345"/>
      <c r="L11" s="542"/>
      <c r="M11" s="542"/>
      <c r="N11" s="345"/>
      <c r="O11" s="345"/>
      <c r="P11" s="345"/>
      <c r="Q11" s="345"/>
      <c r="R11" s="345"/>
      <c r="S11" s="345"/>
      <c r="T11" s="345"/>
      <c r="U11" s="345"/>
      <c r="V11" s="333"/>
      <c r="W11" s="309" t="e">
        <v>#NAME?</v>
      </c>
      <c r="X11" s="355" t="e">
        <v>#NAME?</v>
      </c>
      <c r="Y11" s="339"/>
      <c r="Z11" s="339"/>
      <c r="AB11" s="529"/>
      <c r="AC11" s="371" t="s">
        <v>132</v>
      </c>
      <c r="AD11" s="370" t="s">
        <v>131</v>
      </c>
      <c r="AE11" s="369" t="s">
        <v>130</v>
      </c>
      <c r="AF11" s="368" t="s">
        <v>129</v>
      </c>
      <c r="AG11" s="368" t="s">
        <v>128</v>
      </c>
      <c r="AH11" s="367" t="s">
        <v>127</v>
      </c>
      <c r="AI11" s="366" t="s">
        <v>126</v>
      </c>
      <c r="AJ11" s="365" t="s">
        <v>125</v>
      </c>
      <c r="AK11" s="371" t="s">
        <v>132</v>
      </c>
      <c r="AL11" s="370" t="s">
        <v>131</v>
      </c>
      <c r="AM11" s="369" t="s">
        <v>130</v>
      </c>
      <c r="AN11" s="368" t="s">
        <v>129</v>
      </c>
      <c r="AO11" s="368" t="s">
        <v>128</v>
      </c>
      <c r="AP11" s="367" t="s">
        <v>127</v>
      </c>
      <c r="AQ11" s="366" t="s">
        <v>126</v>
      </c>
      <c r="AR11" s="365" t="s">
        <v>125</v>
      </c>
      <c r="AS11" s="371" t="s">
        <v>132</v>
      </c>
      <c r="AT11" s="370" t="s">
        <v>131</v>
      </c>
      <c r="AU11" s="369" t="s">
        <v>130</v>
      </c>
      <c r="AV11" s="368" t="s">
        <v>129</v>
      </c>
      <c r="AW11" s="368" t="s">
        <v>128</v>
      </c>
      <c r="AX11" s="367" t="s">
        <v>127</v>
      </c>
      <c r="AY11" s="366" t="s">
        <v>126</v>
      </c>
      <c r="AZ11" s="365" t="s">
        <v>125</v>
      </c>
      <c r="BA11" s="371" t="s">
        <v>132</v>
      </c>
      <c r="BB11" s="370" t="s">
        <v>131</v>
      </c>
      <c r="BC11" s="369" t="s">
        <v>130</v>
      </c>
      <c r="BD11" s="368" t="s">
        <v>129</v>
      </c>
      <c r="BE11" s="368" t="s">
        <v>128</v>
      </c>
      <c r="BF11" s="367" t="s">
        <v>127</v>
      </c>
      <c r="BG11" s="366" t="s">
        <v>126</v>
      </c>
      <c r="BH11" s="365" t="s">
        <v>125</v>
      </c>
      <c r="BI11" s="371" t="s">
        <v>132</v>
      </c>
      <c r="BJ11" s="370" t="s">
        <v>131</v>
      </c>
      <c r="BK11" s="369" t="s">
        <v>130</v>
      </c>
      <c r="BL11" s="368" t="s">
        <v>129</v>
      </c>
      <c r="BM11" s="368" t="s">
        <v>128</v>
      </c>
      <c r="BN11" s="367" t="s">
        <v>127</v>
      </c>
      <c r="BO11" s="366" t="s">
        <v>126</v>
      </c>
      <c r="BP11" s="365" t="s">
        <v>125</v>
      </c>
      <c r="BQ11" s="371" t="s">
        <v>132</v>
      </c>
      <c r="BR11" s="370" t="s">
        <v>131</v>
      </c>
      <c r="BS11" s="369" t="s">
        <v>130</v>
      </c>
      <c r="BT11" s="368" t="s">
        <v>129</v>
      </c>
      <c r="BU11" s="368" t="s">
        <v>128</v>
      </c>
      <c r="BV11" s="367" t="s">
        <v>127</v>
      </c>
      <c r="BW11" s="366" t="s">
        <v>126</v>
      </c>
      <c r="BX11" s="365" t="s">
        <v>125</v>
      </c>
      <c r="BY11" s="371" t="s">
        <v>132</v>
      </c>
      <c r="BZ11" s="370" t="s">
        <v>131</v>
      </c>
      <c r="CA11" s="369" t="s">
        <v>130</v>
      </c>
      <c r="CB11" s="368" t="s">
        <v>129</v>
      </c>
      <c r="CC11" s="368" t="s">
        <v>128</v>
      </c>
      <c r="CD11" s="367" t="s">
        <v>127</v>
      </c>
      <c r="CE11" s="366" t="s">
        <v>126</v>
      </c>
      <c r="CF11" s="365" t="s">
        <v>125</v>
      </c>
    </row>
    <row r="12" spans="1:85" ht="12.75" customHeight="1" thickBot="1">
      <c r="A12" s="325"/>
      <c r="B12" s="540"/>
      <c r="C12" s="373"/>
      <c r="D12" s="346"/>
      <c r="E12" s="345"/>
      <c r="F12" s="345"/>
      <c r="G12" s="345"/>
      <c r="H12" s="324"/>
      <c r="I12" s="324"/>
      <c r="J12" s="541"/>
      <c r="K12" s="345"/>
      <c r="L12" s="542"/>
      <c r="M12" s="542"/>
      <c r="N12" s="345"/>
      <c r="O12" s="345"/>
      <c r="P12" s="345"/>
      <c r="Q12" s="345"/>
      <c r="R12" s="345"/>
      <c r="S12" s="345"/>
      <c r="T12" s="345"/>
      <c r="U12" s="345"/>
      <c r="V12" s="333"/>
      <c r="W12" s="309" t="e">
        <v>#NAME?</v>
      </c>
      <c r="X12" s="355" t="e">
        <v>#NAME?</v>
      </c>
      <c r="Y12" s="339"/>
      <c r="Z12" s="339"/>
      <c r="AB12" s="530"/>
      <c r="AC12" s="364"/>
      <c r="AD12" s="363"/>
      <c r="AE12" s="362"/>
      <c r="AF12" s="362"/>
      <c r="AG12" s="362"/>
      <c r="AH12" s="362"/>
      <c r="AI12" s="362"/>
      <c r="AJ12" s="361"/>
      <c r="AK12" s="364"/>
      <c r="AL12" s="363"/>
      <c r="AM12" s="362"/>
      <c r="AN12" s="362"/>
      <c r="AO12" s="362"/>
      <c r="AP12" s="362"/>
      <c r="AQ12" s="362"/>
      <c r="AR12" s="361"/>
      <c r="AS12" s="364"/>
      <c r="AT12" s="363"/>
      <c r="AU12" s="362"/>
      <c r="AV12" s="362"/>
      <c r="AW12" s="362"/>
      <c r="AX12" s="362"/>
      <c r="AY12" s="362"/>
      <c r="AZ12" s="361"/>
      <c r="BA12" s="364"/>
      <c r="BB12" s="363"/>
      <c r="BC12" s="362"/>
      <c r="BD12" s="362"/>
      <c r="BE12" s="362"/>
      <c r="BF12" s="362"/>
      <c r="BG12" s="362"/>
      <c r="BH12" s="361"/>
      <c r="BI12" s="364"/>
      <c r="BJ12" s="363"/>
      <c r="BK12" s="362"/>
      <c r="BL12" s="362"/>
      <c r="BM12" s="362"/>
      <c r="BN12" s="362"/>
      <c r="BO12" s="362"/>
      <c r="BP12" s="361"/>
      <c r="BQ12" s="364"/>
      <c r="BR12" s="363"/>
      <c r="BS12" s="362"/>
      <c r="BT12" s="362"/>
      <c r="BU12" s="362"/>
      <c r="BV12" s="362"/>
      <c r="BW12" s="362"/>
      <c r="BX12" s="361"/>
      <c r="BY12" s="364"/>
      <c r="BZ12" s="363"/>
      <c r="CA12" s="362"/>
      <c r="CB12" s="362"/>
      <c r="CC12" s="362"/>
      <c r="CD12" s="362"/>
      <c r="CE12" s="362"/>
      <c r="CF12" s="361"/>
    </row>
    <row r="13" spans="1:85" ht="12.75" customHeight="1" thickTop="1">
      <c r="A13" s="347"/>
      <c r="B13" s="345"/>
      <c r="C13" s="373"/>
      <c r="D13" s="346"/>
      <c r="E13" s="345"/>
      <c r="F13" s="345"/>
      <c r="G13" s="345"/>
      <c r="H13" s="345"/>
      <c r="I13" s="345"/>
      <c r="J13" s="345"/>
      <c r="K13" s="345"/>
      <c r="L13" s="345"/>
      <c r="M13" s="345"/>
      <c r="N13" s="345"/>
      <c r="O13" s="345"/>
      <c r="P13" s="345"/>
      <c r="Q13" s="345"/>
      <c r="R13" s="345"/>
      <c r="S13" s="345"/>
      <c r="T13" s="345"/>
      <c r="U13" s="345"/>
      <c r="V13" s="333"/>
      <c r="W13" s="309" t="e">
        <v>#NAME?</v>
      </c>
      <c r="X13" s="355" t="s">
        <v>136</v>
      </c>
      <c r="Y13" s="339"/>
      <c r="Z13" s="339"/>
      <c r="AB13" s="332"/>
      <c r="AC13" s="332"/>
      <c r="AD13" s="332"/>
      <c r="AE13" s="332"/>
      <c r="AF13" s="332"/>
      <c r="AG13" s="332"/>
      <c r="AH13" s="332"/>
      <c r="AI13" s="332"/>
      <c r="AJ13" s="332"/>
      <c r="AK13" s="332"/>
      <c r="AL13" s="332"/>
      <c r="AM13" s="332"/>
      <c r="AN13" s="332"/>
      <c r="AO13" s="332"/>
      <c r="AP13" s="332"/>
      <c r="AQ13" s="332"/>
      <c r="AR13" s="332"/>
      <c r="AS13" s="332"/>
      <c r="AT13" s="332"/>
      <c r="AU13" s="332"/>
      <c r="AV13" s="332"/>
      <c r="AW13" s="332"/>
      <c r="AX13" s="332"/>
      <c r="AY13" s="332"/>
      <c r="AZ13" s="332"/>
      <c r="BA13" s="332"/>
      <c r="BB13" s="332"/>
      <c r="BC13" s="332"/>
      <c r="BD13" s="332"/>
      <c r="BE13" s="332"/>
      <c r="BF13" s="332"/>
      <c r="BG13" s="332"/>
      <c r="BH13" s="332"/>
      <c r="BI13" s="332"/>
      <c r="BJ13" s="332"/>
      <c r="BK13" s="332"/>
      <c r="BL13" s="332"/>
      <c r="BM13" s="332"/>
      <c r="BN13" s="332"/>
      <c r="BO13" s="332"/>
      <c r="BP13" s="332"/>
      <c r="BQ13" s="332"/>
      <c r="BR13" s="332"/>
      <c r="BS13" s="332"/>
      <c r="BT13" s="332"/>
      <c r="BU13" s="332"/>
      <c r="BV13" s="332"/>
      <c r="BW13" s="332"/>
      <c r="BX13" s="332"/>
      <c r="BY13" s="332"/>
      <c r="BZ13" s="332"/>
      <c r="CA13" s="332"/>
      <c r="CB13" s="332"/>
      <c r="CC13" s="332"/>
      <c r="CD13" s="332"/>
      <c r="CE13" s="332"/>
      <c r="CF13" s="332"/>
      <c r="CG13" s="332"/>
    </row>
    <row r="14" spans="1:85" ht="12.75" customHeight="1" thickBot="1">
      <c r="A14" s="347"/>
      <c r="B14" s="345"/>
      <c r="C14" s="373"/>
      <c r="D14" s="346"/>
      <c r="E14" s="345"/>
      <c r="F14" s="345"/>
      <c r="G14" s="345"/>
      <c r="H14" s="345"/>
      <c r="I14" s="345"/>
      <c r="J14" s="345"/>
      <c r="K14" s="345"/>
      <c r="L14" s="345"/>
      <c r="M14" s="345"/>
      <c r="N14" s="345"/>
      <c r="O14" s="345"/>
      <c r="P14" s="345"/>
      <c r="Q14" s="345"/>
      <c r="R14" s="345"/>
      <c r="S14" s="345"/>
      <c r="T14" s="345"/>
      <c r="U14" s="345"/>
      <c r="V14" s="333"/>
      <c r="W14" s="309" t="e">
        <v>#NAME?</v>
      </c>
      <c r="X14" s="355" t="e">
        <v>#NAME?</v>
      </c>
      <c r="Y14" s="339"/>
      <c r="Z14" s="339"/>
    </row>
    <row r="15" spans="1:85" ht="12.75" customHeight="1" thickTop="1" thickBot="1">
      <c r="A15" s="347"/>
      <c r="B15" s="345"/>
      <c r="C15" s="373"/>
      <c r="D15" s="346"/>
      <c r="E15" s="345"/>
      <c r="F15" s="345"/>
      <c r="G15" s="345"/>
      <c r="H15" s="345"/>
      <c r="I15" s="345"/>
      <c r="J15" s="345"/>
      <c r="K15" s="345"/>
      <c r="L15" s="345"/>
      <c r="M15" s="345"/>
      <c r="N15" s="345"/>
      <c r="O15" s="345"/>
      <c r="P15" s="345"/>
      <c r="Q15" s="345"/>
      <c r="R15" s="345"/>
      <c r="S15" s="345"/>
      <c r="T15" s="345"/>
      <c r="U15" s="345"/>
      <c r="V15" s="333"/>
      <c r="W15" s="309"/>
      <c r="X15" s="355"/>
      <c r="Y15" s="339"/>
      <c r="Z15" s="339"/>
      <c r="AB15" s="528" t="str">
        <f>A3</f>
        <v>L003</v>
      </c>
      <c r="AC15" s="506">
        <v>43018</v>
      </c>
      <c r="AD15" s="507"/>
      <c r="AE15" s="507"/>
      <c r="AF15" s="507"/>
      <c r="AG15" s="507"/>
      <c r="AH15" s="507"/>
      <c r="AI15" s="507"/>
      <c r="AJ15" s="508"/>
      <c r="AK15" s="506">
        <v>43019</v>
      </c>
      <c r="AL15" s="507"/>
      <c r="AM15" s="507"/>
      <c r="AN15" s="507"/>
      <c r="AO15" s="507"/>
      <c r="AP15" s="507"/>
      <c r="AQ15" s="507"/>
      <c r="AR15" s="508"/>
      <c r="AS15" s="506">
        <v>43020</v>
      </c>
      <c r="AT15" s="507"/>
      <c r="AU15" s="507"/>
      <c r="AV15" s="507"/>
      <c r="AW15" s="507"/>
      <c r="AX15" s="507"/>
      <c r="AY15" s="507"/>
      <c r="AZ15" s="508"/>
      <c r="BA15" s="506">
        <v>43021</v>
      </c>
      <c r="BB15" s="507"/>
      <c r="BC15" s="507"/>
      <c r="BD15" s="507"/>
      <c r="BE15" s="507"/>
      <c r="BF15" s="507"/>
      <c r="BG15" s="507"/>
      <c r="BH15" s="508"/>
      <c r="BI15" s="506">
        <v>43022</v>
      </c>
      <c r="BJ15" s="507"/>
      <c r="BK15" s="507"/>
      <c r="BL15" s="507"/>
      <c r="BM15" s="507"/>
      <c r="BN15" s="507"/>
      <c r="BO15" s="507"/>
      <c r="BP15" s="508"/>
      <c r="BQ15" s="506">
        <v>43023</v>
      </c>
      <c r="BR15" s="507"/>
      <c r="BS15" s="507"/>
      <c r="BT15" s="507"/>
      <c r="BU15" s="507"/>
      <c r="BV15" s="507"/>
      <c r="BW15" s="507"/>
      <c r="BX15" s="508"/>
      <c r="BY15" s="506">
        <v>43024</v>
      </c>
      <c r="BZ15" s="507"/>
      <c r="CA15" s="507"/>
      <c r="CB15" s="507"/>
      <c r="CC15" s="507"/>
      <c r="CD15" s="507"/>
      <c r="CE15" s="507"/>
      <c r="CF15" s="508"/>
    </row>
    <row r="16" spans="1:85" ht="12.75" customHeight="1" thickBot="1">
      <c r="A16" s="347"/>
      <c r="B16" s="345"/>
      <c r="C16" s="373"/>
      <c r="D16" s="346"/>
      <c r="E16" s="345"/>
      <c r="F16" s="345"/>
      <c r="G16" s="345"/>
      <c r="H16" s="345"/>
      <c r="I16" s="345"/>
      <c r="J16" s="345"/>
      <c r="K16" s="345"/>
      <c r="L16" s="345"/>
      <c r="M16" s="345"/>
      <c r="N16" s="345"/>
      <c r="O16" s="345"/>
      <c r="P16" s="345"/>
      <c r="Q16" s="345"/>
      <c r="R16" s="345"/>
      <c r="S16" s="345"/>
      <c r="T16" s="345"/>
      <c r="U16" s="345"/>
      <c r="V16" s="333"/>
      <c r="W16" s="309"/>
      <c r="X16" s="355"/>
      <c r="Y16" s="339"/>
      <c r="Z16" s="339"/>
      <c r="AB16" s="529"/>
      <c r="AC16" s="371" t="s">
        <v>132</v>
      </c>
      <c r="AD16" s="370" t="s">
        <v>131</v>
      </c>
      <c r="AE16" s="369" t="s">
        <v>130</v>
      </c>
      <c r="AF16" s="368" t="s">
        <v>129</v>
      </c>
      <c r="AG16" s="368" t="s">
        <v>128</v>
      </c>
      <c r="AH16" s="367" t="s">
        <v>127</v>
      </c>
      <c r="AI16" s="366" t="s">
        <v>126</v>
      </c>
      <c r="AJ16" s="365" t="s">
        <v>125</v>
      </c>
      <c r="AK16" s="371" t="s">
        <v>132</v>
      </c>
      <c r="AL16" s="370" t="s">
        <v>131</v>
      </c>
      <c r="AM16" s="369" t="s">
        <v>130</v>
      </c>
      <c r="AN16" s="368" t="s">
        <v>129</v>
      </c>
      <c r="AO16" s="368" t="s">
        <v>128</v>
      </c>
      <c r="AP16" s="367" t="s">
        <v>127</v>
      </c>
      <c r="AQ16" s="366" t="s">
        <v>126</v>
      </c>
      <c r="AR16" s="365" t="s">
        <v>125</v>
      </c>
      <c r="AS16" s="371" t="s">
        <v>132</v>
      </c>
      <c r="AT16" s="370" t="s">
        <v>131</v>
      </c>
      <c r="AU16" s="369" t="s">
        <v>130</v>
      </c>
      <c r="AV16" s="368" t="s">
        <v>129</v>
      </c>
      <c r="AW16" s="368" t="s">
        <v>128</v>
      </c>
      <c r="AX16" s="367" t="s">
        <v>127</v>
      </c>
      <c r="AY16" s="366" t="s">
        <v>126</v>
      </c>
      <c r="AZ16" s="365" t="s">
        <v>125</v>
      </c>
      <c r="BA16" s="371" t="s">
        <v>132</v>
      </c>
      <c r="BB16" s="370" t="s">
        <v>131</v>
      </c>
      <c r="BC16" s="369" t="s">
        <v>130</v>
      </c>
      <c r="BD16" s="368" t="s">
        <v>129</v>
      </c>
      <c r="BE16" s="368" t="s">
        <v>128</v>
      </c>
      <c r="BF16" s="367" t="s">
        <v>127</v>
      </c>
      <c r="BG16" s="366" t="s">
        <v>126</v>
      </c>
      <c r="BH16" s="365" t="s">
        <v>125</v>
      </c>
      <c r="BI16" s="371" t="s">
        <v>132</v>
      </c>
      <c r="BJ16" s="370" t="s">
        <v>131</v>
      </c>
      <c r="BK16" s="369" t="s">
        <v>130</v>
      </c>
      <c r="BL16" s="368" t="s">
        <v>129</v>
      </c>
      <c r="BM16" s="368" t="s">
        <v>128</v>
      </c>
      <c r="BN16" s="367" t="s">
        <v>127</v>
      </c>
      <c r="BO16" s="366" t="s">
        <v>126</v>
      </c>
      <c r="BP16" s="365" t="s">
        <v>125</v>
      </c>
      <c r="BQ16" s="371" t="s">
        <v>132</v>
      </c>
      <c r="BR16" s="370" t="s">
        <v>131</v>
      </c>
      <c r="BS16" s="369" t="s">
        <v>130</v>
      </c>
      <c r="BT16" s="368" t="s">
        <v>129</v>
      </c>
      <c r="BU16" s="368" t="s">
        <v>128</v>
      </c>
      <c r="BV16" s="367" t="s">
        <v>127</v>
      </c>
      <c r="BW16" s="366" t="s">
        <v>126</v>
      </c>
      <c r="BX16" s="365" t="s">
        <v>125</v>
      </c>
      <c r="BY16" s="371" t="s">
        <v>132</v>
      </c>
      <c r="BZ16" s="370" t="s">
        <v>131</v>
      </c>
      <c r="CA16" s="369" t="s">
        <v>130</v>
      </c>
      <c r="CB16" s="368" t="s">
        <v>129</v>
      </c>
      <c r="CC16" s="368" t="s">
        <v>128</v>
      </c>
      <c r="CD16" s="367" t="s">
        <v>127</v>
      </c>
      <c r="CE16" s="366" t="s">
        <v>126</v>
      </c>
      <c r="CF16" s="365" t="s">
        <v>125</v>
      </c>
    </row>
    <row r="17" spans="1:93" ht="12.75" customHeight="1" thickBot="1">
      <c r="A17" s="347"/>
      <c r="B17" s="345"/>
      <c r="C17" s="373"/>
      <c r="D17" s="346"/>
      <c r="E17" s="345"/>
      <c r="F17" s="345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5"/>
      <c r="V17" s="333"/>
      <c r="W17" s="309"/>
      <c r="X17" s="355"/>
      <c r="Y17" s="339"/>
      <c r="Z17" s="339"/>
      <c r="AB17" s="530"/>
      <c r="AC17" s="364"/>
      <c r="AD17" s="363"/>
      <c r="AE17" s="362"/>
      <c r="AF17" s="362"/>
      <c r="AG17" s="362"/>
      <c r="AH17" s="362"/>
      <c r="AI17" s="362"/>
      <c r="AJ17" s="361"/>
      <c r="AK17" s="364"/>
      <c r="AL17" s="363"/>
      <c r="AM17" s="362"/>
      <c r="AN17" s="362"/>
      <c r="AO17" s="362"/>
      <c r="AP17" s="362"/>
      <c r="AQ17" s="362"/>
      <c r="AR17" s="361"/>
      <c r="AS17" s="364"/>
      <c r="AT17" s="363"/>
      <c r="AU17" s="362"/>
      <c r="AV17" s="362"/>
      <c r="AW17" s="362"/>
      <c r="AX17" s="362"/>
      <c r="AY17" s="362"/>
      <c r="AZ17" s="361"/>
      <c r="BA17" s="364"/>
      <c r="BB17" s="363"/>
      <c r="BC17" s="362"/>
      <c r="BD17" s="362"/>
      <c r="BE17" s="362"/>
      <c r="BF17" s="362"/>
      <c r="BG17" s="362"/>
      <c r="BH17" s="361"/>
      <c r="BI17" s="364"/>
      <c r="BJ17" s="363"/>
      <c r="BK17" s="362"/>
      <c r="BL17" s="362"/>
      <c r="BM17" s="362"/>
      <c r="BN17" s="362"/>
      <c r="BO17" s="362"/>
      <c r="BP17" s="361"/>
      <c r="BQ17" s="364"/>
      <c r="BR17" s="363"/>
      <c r="BS17" s="362"/>
      <c r="BT17" s="362"/>
      <c r="BU17" s="362"/>
      <c r="BV17" s="362"/>
      <c r="BW17" s="362"/>
      <c r="BX17" s="361"/>
      <c r="BY17" s="364"/>
      <c r="BZ17" s="363"/>
      <c r="CA17" s="362"/>
      <c r="CB17" s="362"/>
      <c r="CC17" s="362"/>
      <c r="CD17" s="362"/>
      <c r="CE17" s="362"/>
      <c r="CF17" s="361"/>
    </row>
    <row r="18" spans="1:93" ht="12.75" customHeight="1" thickTop="1">
      <c r="A18" s="347"/>
      <c r="B18" s="345"/>
      <c r="C18" s="373"/>
      <c r="D18" s="346"/>
      <c r="E18" s="345"/>
      <c r="F18" s="345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5"/>
      <c r="V18" s="333"/>
      <c r="W18" s="309"/>
      <c r="X18" s="355"/>
      <c r="Y18" s="339"/>
      <c r="Z18" s="339"/>
      <c r="AB18" s="332"/>
      <c r="AC18" s="332"/>
      <c r="AD18" s="332"/>
      <c r="AE18" s="332"/>
      <c r="AF18" s="332"/>
      <c r="AG18" s="332"/>
      <c r="AH18" s="332"/>
      <c r="AI18" s="332"/>
      <c r="AJ18" s="332"/>
      <c r="AK18" s="332"/>
      <c r="AL18" s="332"/>
      <c r="AM18" s="332"/>
      <c r="AN18" s="332"/>
      <c r="AO18" s="332"/>
      <c r="AP18" s="332"/>
      <c r="AQ18" s="332"/>
      <c r="AR18" s="332"/>
      <c r="AS18" s="332"/>
      <c r="AT18" s="332"/>
      <c r="AU18" s="332"/>
      <c r="AV18" s="332"/>
      <c r="AW18" s="332"/>
      <c r="AX18" s="332"/>
      <c r="AY18" s="332"/>
      <c r="AZ18" s="332"/>
      <c r="BA18" s="332"/>
      <c r="BB18" s="332"/>
      <c r="BC18" s="332"/>
      <c r="BD18" s="332"/>
      <c r="BE18" s="332"/>
      <c r="BF18" s="332"/>
      <c r="BG18" s="332"/>
      <c r="BH18" s="332"/>
      <c r="BI18" s="332"/>
      <c r="BJ18" s="332"/>
      <c r="BK18" s="332"/>
      <c r="BL18" s="332"/>
      <c r="BM18" s="332"/>
      <c r="BN18" s="332"/>
      <c r="BO18" s="332"/>
      <c r="BP18" s="332"/>
      <c r="BQ18" s="332"/>
      <c r="BR18" s="332"/>
      <c r="BS18" s="332"/>
      <c r="BT18" s="332"/>
      <c r="BU18" s="332"/>
      <c r="BV18" s="332"/>
      <c r="BW18" s="332"/>
      <c r="BX18" s="332"/>
      <c r="BY18" s="332"/>
      <c r="BZ18" s="332"/>
      <c r="CA18" s="332"/>
      <c r="CB18" s="332"/>
      <c r="CC18" s="332"/>
      <c r="CD18" s="332"/>
      <c r="CE18" s="332"/>
      <c r="CF18" s="332"/>
      <c r="CG18" s="332"/>
    </row>
    <row r="19" spans="1:93" ht="12.75" customHeight="1" thickBot="1">
      <c r="A19" s="347"/>
      <c r="B19" s="345"/>
      <c r="C19" s="373"/>
      <c r="D19" s="346"/>
      <c r="E19" s="345"/>
      <c r="F19" s="345"/>
      <c r="G19" s="345"/>
      <c r="H19" s="345"/>
      <c r="I19" s="345"/>
      <c r="J19" s="345"/>
      <c r="K19" s="345"/>
      <c r="L19" s="345"/>
      <c r="M19" s="345"/>
      <c r="N19" s="345"/>
      <c r="O19" s="345"/>
      <c r="P19" s="345"/>
      <c r="Q19" s="345"/>
      <c r="R19" s="345"/>
      <c r="S19" s="345"/>
      <c r="T19" s="345"/>
      <c r="U19" s="345"/>
      <c r="V19" s="333"/>
      <c r="W19" s="309"/>
      <c r="X19" s="355"/>
      <c r="Y19" s="339"/>
      <c r="Z19" s="339"/>
      <c r="AB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372"/>
      <c r="AW19" s="372"/>
      <c r="AX19" s="372"/>
      <c r="AY19" s="372"/>
      <c r="AZ19" s="372"/>
      <c r="BA19" s="372"/>
      <c r="BB19" s="372"/>
      <c r="BC19" s="372"/>
      <c r="BD19" s="372"/>
      <c r="BE19" s="372"/>
      <c r="BF19" s="372"/>
      <c r="BG19" s="372"/>
      <c r="BH19" s="372"/>
    </row>
    <row r="20" spans="1:93" ht="12.75" customHeight="1" thickTop="1" thickBot="1">
      <c r="A20" s="347"/>
      <c r="B20" s="345"/>
      <c r="C20" s="373"/>
      <c r="D20" s="346"/>
      <c r="E20" s="345"/>
      <c r="F20" s="345"/>
      <c r="G20" s="345"/>
      <c r="H20" s="345"/>
      <c r="I20" s="345"/>
      <c r="J20" s="345"/>
      <c r="K20" s="345"/>
      <c r="L20" s="345"/>
      <c r="M20" s="345"/>
      <c r="N20" s="345"/>
      <c r="O20" s="345"/>
      <c r="P20" s="345"/>
      <c r="Q20" s="345"/>
      <c r="R20" s="345"/>
      <c r="S20" s="345"/>
      <c r="T20" s="345"/>
      <c r="U20" s="345"/>
      <c r="V20" s="333"/>
      <c r="W20" s="309"/>
      <c r="X20" s="355"/>
      <c r="Y20" s="339"/>
      <c r="Z20" s="339"/>
      <c r="AB20" s="528" t="str">
        <f>A3</f>
        <v>L003</v>
      </c>
      <c r="AC20" s="506">
        <v>43025</v>
      </c>
      <c r="AD20" s="507"/>
      <c r="AE20" s="507"/>
      <c r="AF20" s="507"/>
      <c r="AG20" s="507"/>
      <c r="AH20" s="507"/>
      <c r="AI20" s="507"/>
      <c r="AJ20" s="508"/>
      <c r="AK20" s="506">
        <v>43026</v>
      </c>
      <c r="AL20" s="507"/>
      <c r="AM20" s="507"/>
      <c r="AN20" s="507"/>
      <c r="AO20" s="507"/>
      <c r="AP20" s="507"/>
      <c r="AQ20" s="507"/>
      <c r="AR20" s="508"/>
      <c r="AS20" s="506">
        <v>43027</v>
      </c>
      <c r="AT20" s="507"/>
      <c r="AU20" s="507"/>
      <c r="AV20" s="507"/>
      <c r="AW20" s="507"/>
      <c r="AX20" s="507"/>
      <c r="AY20" s="507"/>
      <c r="AZ20" s="508"/>
      <c r="BA20" s="506">
        <v>43028</v>
      </c>
      <c r="BB20" s="507"/>
      <c r="BC20" s="507"/>
      <c r="BD20" s="507"/>
      <c r="BE20" s="507"/>
      <c r="BF20" s="507"/>
      <c r="BG20" s="507"/>
      <c r="BH20" s="508"/>
      <c r="BI20" s="506">
        <v>43029</v>
      </c>
      <c r="BJ20" s="507"/>
      <c r="BK20" s="507"/>
      <c r="BL20" s="507"/>
      <c r="BM20" s="507"/>
      <c r="BN20" s="507"/>
      <c r="BO20" s="507"/>
      <c r="BP20" s="508"/>
      <c r="BQ20" s="506">
        <v>43030</v>
      </c>
      <c r="BR20" s="507"/>
      <c r="BS20" s="507"/>
      <c r="BT20" s="507"/>
      <c r="BU20" s="507"/>
      <c r="BV20" s="507"/>
      <c r="BW20" s="507"/>
      <c r="BX20" s="508"/>
      <c r="BY20" s="506">
        <v>43031</v>
      </c>
      <c r="BZ20" s="507"/>
      <c r="CA20" s="507"/>
      <c r="CB20" s="507"/>
      <c r="CC20" s="507"/>
      <c r="CD20" s="507"/>
      <c r="CE20" s="507"/>
      <c r="CF20" s="508"/>
    </row>
    <row r="21" spans="1:93" ht="12.75" customHeight="1" thickBot="1">
      <c r="A21" s="3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3"/>
      <c r="W21" s="309"/>
      <c r="X21" s="355"/>
      <c r="Y21" s="339"/>
      <c r="Z21" s="339"/>
      <c r="AB21" s="529"/>
      <c r="AC21" s="371" t="s">
        <v>132</v>
      </c>
      <c r="AD21" s="370" t="s">
        <v>131</v>
      </c>
      <c r="AE21" s="369" t="s">
        <v>130</v>
      </c>
      <c r="AF21" s="368" t="s">
        <v>129</v>
      </c>
      <c r="AG21" s="368" t="s">
        <v>128</v>
      </c>
      <c r="AH21" s="367" t="s">
        <v>127</v>
      </c>
      <c r="AI21" s="366" t="s">
        <v>126</v>
      </c>
      <c r="AJ21" s="365" t="s">
        <v>125</v>
      </c>
      <c r="AK21" s="371" t="s">
        <v>132</v>
      </c>
      <c r="AL21" s="370" t="s">
        <v>131</v>
      </c>
      <c r="AM21" s="369" t="s">
        <v>130</v>
      </c>
      <c r="AN21" s="368" t="s">
        <v>129</v>
      </c>
      <c r="AO21" s="368" t="s">
        <v>128</v>
      </c>
      <c r="AP21" s="367" t="s">
        <v>127</v>
      </c>
      <c r="AQ21" s="366" t="s">
        <v>126</v>
      </c>
      <c r="AR21" s="365" t="s">
        <v>125</v>
      </c>
      <c r="AS21" s="371" t="s">
        <v>132</v>
      </c>
      <c r="AT21" s="370" t="s">
        <v>131</v>
      </c>
      <c r="AU21" s="369" t="s">
        <v>130</v>
      </c>
      <c r="AV21" s="368" t="s">
        <v>129</v>
      </c>
      <c r="AW21" s="368" t="s">
        <v>128</v>
      </c>
      <c r="AX21" s="367" t="s">
        <v>127</v>
      </c>
      <c r="AY21" s="366" t="s">
        <v>126</v>
      </c>
      <c r="AZ21" s="365" t="s">
        <v>125</v>
      </c>
      <c r="BA21" s="371" t="s">
        <v>132</v>
      </c>
      <c r="BB21" s="370" t="s">
        <v>131</v>
      </c>
      <c r="BC21" s="369" t="s">
        <v>130</v>
      </c>
      <c r="BD21" s="368" t="s">
        <v>129</v>
      </c>
      <c r="BE21" s="368" t="s">
        <v>128</v>
      </c>
      <c r="BF21" s="367" t="s">
        <v>127</v>
      </c>
      <c r="BG21" s="366" t="s">
        <v>126</v>
      </c>
      <c r="BH21" s="365" t="s">
        <v>125</v>
      </c>
      <c r="BI21" s="371" t="s">
        <v>132</v>
      </c>
      <c r="BJ21" s="370" t="s">
        <v>131</v>
      </c>
      <c r="BK21" s="369" t="s">
        <v>130</v>
      </c>
      <c r="BL21" s="368" t="s">
        <v>129</v>
      </c>
      <c r="BM21" s="368" t="s">
        <v>128</v>
      </c>
      <c r="BN21" s="367" t="s">
        <v>127</v>
      </c>
      <c r="BO21" s="366" t="s">
        <v>126</v>
      </c>
      <c r="BP21" s="365" t="s">
        <v>125</v>
      </c>
      <c r="BQ21" s="371" t="s">
        <v>132</v>
      </c>
      <c r="BR21" s="370" t="s">
        <v>131</v>
      </c>
      <c r="BS21" s="369" t="s">
        <v>130</v>
      </c>
      <c r="BT21" s="368" t="s">
        <v>129</v>
      </c>
      <c r="BU21" s="368" t="s">
        <v>128</v>
      </c>
      <c r="BV21" s="367" t="s">
        <v>127</v>
      </c>
      <c r="BW21" s="366" t="s">
        <v>126</v>
      </c>
      <c r="BX21" s="365" t="s">
        <v>125</v>
      </c>
      <c r="BY21" s="371" t="s">
        <v>132</v>
      </c>
      <c r="BZ21" s="370" t="s">
        <v>131</v>
      </c>
      <c r="CA21" s="369" t="s">
        <v>130</v>
      </c>
      <c r="CB21" s="368" t="s">
        <v>129</v>
      </c>
      <c r="CC21" s="368" t="s">
        <v>128</v>
      </c>
      <c r="CD21" s="367" t="s">
        <v>127</v>
      </c>
      <c r="CE21" s="366" t="s">
        <v>126</v>
      </c>
      <c r="CF21" s="365" t="s">
        <v>125</v>
      </c>
    </row>
    <row r="22" spans="1:93" ht="12.75" customHeight="1" thickBot="1">
      <c r="A22" s="3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3"/>
      <c r="W22" s="309" t="e">
        <v>#NAME?</v>
      </c>
      <c r="X22" s="355" t="e">
        <v>#NAME?</v>
      </c>
      <c r="Y22" s="339"/>
      <c r="Z22" s="339"/>
      <c r="AB22" s="530"/>
      <c r="AC22" s="364"/>
      <c r="AD22" s="363"/>
      <c r="AE22" s="362"/>
      <c r="AF22" s="362"/>
      <c r="AG22" s="362"/>
      <c r="AH22" s="362"/>
      <c r="AI22" s="362"/>
      <c r="AJ22" s="361"/>
      <c r="AK22" s="364"/>
      <c r="AL22" s="363"/>
      <c r="AM22" s="362"/>
      <c r="AN22" s="362"/>
      <c r="AO22" s="362"/>
      <c r="AP22" s="362"/>
      <c r="AQ22" s="362"/>
      <c r="AR22" s="361"/>
      <c r="AS22" s="364"/>
      <c r="AT22" s="363"/>
      <c r="AU22" s="362"/>
      <c r="AV22" s="362"/>
      <c r="AW22" s="362"/>
      <c r="AX22" s="362"/>
      <c r="AY22" s="362"/>
      <c r="AZ22" s="361"/>
      <c r="BA22" s="364"/>
      <c r="BB22" s="363"/>
      <c r="BC22" s="362"/>
      <c r="BD22" s="362"/>
      <c r="BE22" s="362"/>
      <c r="BF22" s="362"/>
      <c r="BG22" s="362"/>
      <c r="BH22" s="361"/>
      <c r="BI22" s="364"/>
      <c r="BJ22" s="363"/>
      <c r="BK22" s="362"/>
      <c r="BL22" s="362"/>
      <c r="BM22" s="362"/>
      <c r="BN22" s="362"/>
      <c r="BO22" s="362"/>
      <c r="BP22" s="361"/>
      <c r="BQ22" s="364"/>
      <c r="BR22" s="363"/>
      <c r="BS22" s="362"/>
      <c r="BT22" s="362"/>
      <c r="BU22" s="362"/>
      <c r="BV22" s="362"/>
      <c r="BW22" s="362"/>
      <c r="BX22" s="361"/>
      <c r="BY22" s="364"/>
      <c r="BZ22" s="363"/>
      <c r="CA22" s="362"/>
      <c r="CB22" s="362"/>
      <c r="CC22" s="362"/>
      <c r="CD22" s="362"/>
      <c r="CE22" s="362"/>
      <c r="CF22" s="361"/>
    </row>
    <row r="23" spans="1:93" ht="12.75" customHeight="1" thickTop="1">
      <c r="A23" s="3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3"/>
      <c r="W23" s="309" t="e">
        <v>#NAME?</v>
      </c>
      <c r="X23" s="355" t="e">
        <v>#NAME?</v>
      </c>
      <c r="Y23" s="339"/>
      <c r="Z23" s="339"/>
      <c r="AB23" s="332"/>
      <c r="AC23" s="332"/>
      <c r="AD23" s="332"/>
      <c r="AE23" s="332"/>
      <c r="AF23" s="332"/>
      <c r="AG23" s="332"/>
      <c r="AH23" s="332"/>
      <c r="AI23" s="332"/>
      <c r="AJ23" s="332"/>
      <c r="AK23" s="332"/>
      <c r="AL23" s="332"/>
      <c r="AM23" s="332"/>
      <c r="AN23" s="332"/>
      <c r="AO23" s="332"/>
      <c r="AP23" s="332"/>
      <c r="AQ23" s="332"/>
      <c r="AR23" s="332"/>
      <c r="AS23" s="332"/>
      <c r="AT23" s="332"/>
      <c r="AU23" s="332"/>
      <c r="AV23" s="332"/>
      <c r="AW23" s="332"/>
      <c r="AX23" s="332"/>
      <c r="AY23" s="332"/>
      <c r="AZ23" s="332"/>
      <c r="BA23" s="332"/>
      <c r="BB23" s="332"/>
      <c r="BC23" s="332"/>
      <c r="BD23" s="332"/>
      <c r="BE23" s="332"/>
      <c r="BF23" s="332"/>
      <c r="BG23" s="332"/>
      <c r="BH23" s="332"/>
      <c r="BI23" s="332"/>
      <c r="BJ23" s="332"/>
      <c r="BK23" s="332"/>
      <c r="BL23" s="332"/>
      <c r="BM23" s="332"/>
      <c r="BN23" s="332"/>
      <c r="BO23" s="332"/>
      <c r="BP23" s="332"/>
      <c r="BQ23" s="332"/>
      <c r="BR23" s="332"/>
      <c r="BS23" s="332"/>
      <c r="BT23" s="332"/>
      <c r="BU23" s="332"/>
      <c r="BV23" s="332"/>
      <c r="BW23" s="332"/>
      <c r="BX23" s="332"/>
      <c r="BY23" s="332"/>
      <c r="BZ23" s="332"/>
      <c r="CA23" s="332"/>
      <c r="CB23" s="332"/>
      <c r="CC23" s="332"/>
      <c r="CD23" s="332"/>
      <c r="CE23" s="332"/>
      <c r="CF23" s="332"/>
      <c r="CG23" s="328"/>
      <c r="CH23" s="328"/>
      <c r="CI23" s="328"/>
      <c r="CJ23" s="328"/>
      <c r="CK23" s="328"/>
      <c r="CL23" s="328"/>
      <c r="CM23" s="328"/>
      <c r="CN23" s="328"/>
    </row>
    <row r="24" spans="1:93" ht="12.75" customHeight="1" thickBot="1">
      <c r="A24" s="3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3"/>
      <c r="W24" s="309" t="e">
        <v>#NAME?</v>
      </c>
      <c r="X24" s="355" t="e">
        <v>#NAME?</v>
      </c>
      <c r="Y24" s="339"/>
      <c r="Z24" s="339"/>
      <c r="AB24" s="372"/>
      <c r="AK24" s="372"/>
      <c r="AL24" s="372"/>
      <c r="AM24" s="372"/>
      <c r="AN24" s="372"/>
      <c r="AO24" s="372"/>
      <c r="AP24" s="372"/>
      <c r="AQ24" s="372"/>
      <c r="AR24" s="372"/>
      <c r="AS24" s="372"/>
      <c r="AT24" s="372"/>
      <c r="AU24" s="372"/>
      <c r="AV24" s="372"/>
      <c r="AW24" s="372"/>
      <c r="AX24" s="372"/>
      <c r="AY24" s="372"/>
      <c r="AZ24" s="372"/>
      <c r="BA24" s="372"/>
      <c r="BB24" s="372"/>
      <c r="BC24" s="372"/>
      <c r="BD24" s="372"/>
      <c r="BE24" s="372"/>
      <c r="BF24" s="372"/>
      <c r="BG24" s="372"/>
      <c r="BH24" s="372"/>
      <c r="CG24" s="328"/>
      <c r="CH24" s="328"/>
      <c r="CI24" s="328"/>
      <c r="CJ24" s="328"/>
      <c r="CK24" s="328"/>
      <c r="CL24" s="328"/>
      <c r="CM24" s="328"/>
      <c r="CN24" s="328"/>
      <c r="CO24" s="332"/>
    </row>
    <row r="25" spans="1:93" ht="12.75" customHeight="1" thickTop="1" thickBot="1">
      <c r="A25" s="3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3"/>
      <c r="W25" s="309" t="e">
        <v>#NAME?</v>
      </c>
      <c r="X25" s="355" t="e">
        <v>#NAME?</v>
      </c>
      <c r="Y25" s="339"/>
      <c r="Z25" s="339"/>
      <c r="AB25" s="528" t="str">
        <f>A3</f>
        <v>L003</v>
      </c>
      <c r="AC25" s="506">
        <v>43032</v>
      </c>
      <c r="AD25" s="507"/>
      <c r="AE25" s="507"/>
      <c r="AF25" s="507"/>
      <c r="AG25" s="507"/>
      <c r="AH25" s="507"/>
      <c r="AI25" s="507"/>
      <c r="AJ25" s="508"/>
      <c r="AK25" s="506">
        <v>43033</v>
      </c>
      <c r="AL25" s="507"/>
      <c r="AM25" s="507"/>
      <c r="AN25" s="507"/>
      <c r="AO25" s="507"/>
      <c r="AP25" s="507"/>
      <c r="AQ25" s="507"/>
      <c r="AR25" s="508"/>
      <c r="AS25" s="506">
        <v>43034</v>
      </c>
      <c r="AT25" s="507"/>
      <c r="AU25" s="507"/>
      <c r="AV25" s="507"/>
      <c r="AW25" s="507"/>
      <c r="AX25" s="507"/>
      <c r="AY25" s="507"/>
      <c r="AZ25" s="508"/>
      <c r="BA25" s="506">
        <v>43035</v>
      </c>
      <c r="BB25" s="507"/>
      <c r="BC25" s="507"/>
      <c r="BD25" s="507"/>
      <c r="BE25" s="507"/>
      <c r="BF25" s="507"/>
      <c r="BG25" s="507"/>
      <c r="BH25" s="508"/>
      <c r="BI25" s="506">
        <v>43036</v>
      </c>
      <c r="BJ25" s="507"/>
      <c r="BK25" s="507"/>
      <c r="BL25" s="507"/>
      <c r="BM25" s="507"/>
      <c r="BN25" s="507"/>
      <c r="BO25" s="507"/>
      <c r="BP25" s="508"/>
      <c r="BQ25" s="506">
        <v>43037</v>
      </c>
      <c r="BR25" s="507"/>
      <c r="BS25" s="507"/>
      <c r="BT25" s="507"/>
      <c r="BU25" s="507"/>
      <c r="BV25" s="507"/>
      <c r="BW25" s="507"/>
      <c r="BX25" s="508"/>
      <c r="BY25" s="506">
        <v>43038</v>
      </c>
      <c r="BZ25" s="507"/>
      <c r="CA25" s="507"/>
      <c r="CB25" s="507"/>
      <c r="CC25" s="507"/>
      <c r="CD25" s="507"/>
      <c r="CE25" s="507"/>
      <c r="CF25" s="508"/>
      <c r="CG25" s="506">
        <v>43039</v>
      </c>
      <c r="CH25" s="507"/>
      <c r="CI25" s="507"/>
      <c r="CJ25" s="507"/>
      <c r="CK25" s="507"/>
      <c r="CL25" s="507"/>
      <c r="CM25" s="507"/>
      <c r="CN25" s="508"/>
      <c r="CO25" s="332"/>
    </row>
    <row r="26" spans="1:93" ht="12.75" customHeight="1" thickBot="1">
      <c r="A26" s="325"/>
      <c r="B26" s="360"/>
      <c r="C26" s="360"/>
      <c r="D26" s="360"/>
      <c r="E26" s="360"/>
      <c r="F26" s="360"/>
      <c r="G26" s="360"/>
      <c r="H26" s="360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23"/>
      <c r="W26" s="309" t="e">
        <v>#NAME?</v>
      </c>
      <c r="X26" s="355" t="e">
        <v>#NAME?</v>
      </c>
      <c r="Y26" s="339"/>
      <c r="Z26" s="339"/>
      <c r="AB26" s="529"/>
      <c r="AC26" s="371" t="s">
        <v>132</v>
      </c>
      <c r="AD26" s="370" t="s">
        <v>131</v>
      </c>
      <c r="AE26" s="369" t="s">
        <v>130</v>
      </c>
      <c r="AF26" s="368" t="s">
        <v>129</v>
      </c>
      <c r="AG26" s="368" t="s">
        <v>128</v>
      </c>
      <c r="AH26" s="367" t="s">
        <v>127</v>
      </c>
      <c r="AI26" s="366" t="s">
        <v>126</v>
      </c>
      <c r="AJ26" s="365" t="s">
        <v>125</v>
      </c>
      <c r="AK26" s="371" t="s">
        <v>132</v>
      </c>
      <c r="AL26" s="370" t="s">
        <v>131</v>
      </c>
      <c r="AM26" s="369" t="s">
        <v>130</v>
      </c>
      <c r="AN26" s="368" t="s">
        <v>129</v>
      </c>
      <c r="AO26" s="368" t="s">
        <v>128</v>
      </c>
      <c r="AP26" s="367" t="s">
        <v>127</v>
      </c>
      <c r="AQ26" s="366" t="s">
        <v>126</v>
      </c>
      <c r="AR26" s="365" t="s">
        <v>125</v>
      </c>
      <c r="AS26" s="371" t="s">
        <v>132</v>
      </c>
      <c r="AT26" s="370" t="s">
        <v>131</v>
      </c>
      <c r="AU26" s="369" t="s">
        <v>130</v>
      </c>
      <c r="AV26" s="368" t="s">
        <v>129</v>
      </c>
      <c r="AW26" s="368" t="s">
        <v>128</v>
      </c>
      <c r="AX26" s="367" t="s">
        <v>127</v>
      </c>
      <c r="AY26" s="366" t="s">
        <v>126</v>
      </c>
      <c r="AZ26" s="365" t="s">
        <v>125</v>
      </c>
      <c r="BA26" s="371" t="s">
        <v>132</v>
      </c>
      <c r="BB26" s="370" t="s">
        <v>131</v>
      </c>
      <c r="BC26" s="369" t="s">
        <v>130</v>
      </c>
      <c r="BD26" s="368" t="s">
        <v>129</v>
      </c>
      <c r="BE26" s="368" t="s">
        <v>128</v>
      </c>
      <c r="BF26" s="367" t="s">
        <v>127</v>
      </c>
      <c r="BG26" s="366" t="s">
        <v>126</v>
      </c>
      <c r="BH26" s="365" t="s">
        <v>125</v>
      </c>
      <c r="BI26" s="371" t="s">
        <v>132</v>
      </c>
      <c r="BJ26" s="370" t="s">
        <v>131</v>
      </c>
      <c r="BK26" s="369" t="s">
        <v>130</v>
      </c>
      <c r="BL26" s="368" t="s">
        <v>129</v>
      </c>
      <c r="BM26" s="368" t="s">
        <v>128</v>
      </c>
      <c r="BN26" s="367" t="s">
        <v>127</v>
      </c>
      <c r="BO26" s="366" t="s">
        <v>126</v>
      </c>
      <c r="BP26" s="365" t="s">
        <v>125</v>
      </c>
      <c r="BQ26" s="371" t="s">
        <v>132</v>
      </c>
      <c r="BR26" s="370" t="s">
        <v>131</v>
      </c>
      <c r="BS26" s="369" t="s">
        <v>130</v>
      </c>
      <c r="BT26" s="368" t="s">
        <v>129</v>
      </c>
      <c r="BU26" s="368" t="s">
        <v>128</v>
      </c>
      <c r="BV26" s="367" t="s">
        <v>127</v>
      </c>
      <c r="BW26" s="366" t="s">
        <v>126</v>
      </c>
      <c r="BX26" s="365" t="s">
        <v>125</v>
      </c>
      <c r="BY26" s="371" t="s">
        <v>132</v>
      </c>
      <c r="BZ26" s="370" t="s">
        <v>131</v>
      </c>
      <c r="CA26" s="369" t="s">
        <v>130</v>
      </c>
      <c r="CB26" s="368" t="s">
        <v>129</v>
      </c>
      <c r="CC26" s="368" t="s">
        <v>128</v>
      </c>
      <c r="CD26" s="367" t="s">
        <v>127</v>
      </c>
      <c r="CE26" s="366" t="s">
        <v>126</v>
      </c>
      <c r="CF26" s="365" t="s">
        <v>125</v>
      </c>
      <c r="CG26" s="371" t="s">
        <v>132</v>
      </c>
      <c r="CH26" s="370" t="s">
        <v>131</v>
      </c>
      <c r="CI26" s="369" t="s">
        <v>130</v>
      </c>
      <c r="CJ26" s="368" t="s">
        <v>129</v>
      </c>
      <c r="CK26" s="368" t="s">
        <v>128</v>
      </c>
      <c r="CL26" s="367" t="s">
        <v>127</v>
      </c>
      <c r="CM26" s="366" t="s">
        <v>126</v>
      </c>
      <c r="CN26" s="365" t="s">
        <v>125</v>
      </c>
    </row>
    <row r="27" spans="1:93" ht="12.75" customHeight="1" thickBot="1">
      <c r="A27" s="325"/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0"/>
      <c r="R27" s="360"/>
      <c r="S27" s="360"/>
      <c r="T27" s="360"/>
      <c r="U27" s="360"/>
      <c r="V27" s="323"/>
      <c r="W27" s="309"/>
      <c r="X27" s="355" t="e">
        <v>#NAME?</v>
      </c>
      <c r="Y27" s="339"/>
      <c r="Z27" s="339"/>
      <c r="AB27" s="530"/>
      <c r="AC27" s="364"/>
      <c r="AD27" s="363"/>
      <c r="AE27" s="362"/>
      <c r="AF27" s="362"/>
      <c r="AG27" s="362"/>
      <c r="AH27" s="362"/>
      <c r="AI27" s="362"/>
      <c r="AJ27" s="361"/>
      <c r="AK27" s="364"/>
      <c r="AL27" s="363"/>
      <c r="AM27" s="362"/>
      <c r="AN27" s="362"/>
      <c r="AO27" s="362"/>
      <c r="AP27" s="362"/>
      <c r="AQ27" s="362"/>
      <c r="AR27" s="361"/>
      <c r="AS27" s="364"/>
      <c r="AT27" s="363"/>
      <c r="AU27" s="362"/>
      <c r="AV27" s="362"/>
      <c r="AW27" s="362"/>
      <c r="AX27" s="362"/>
      <c r="AY27" s="362"/>
      <c r="AZ27" s="361"/>
      <c r="BA27" s="364"/>
      <c r="BB27" s="363"/>
      <c r="BC27" s="362"/>
      <c r="BD27" s="362"/>
      <c r="BE27" s="362"/>
      <c r="BF27" s="362"/>
      <c r="BG27" s="362"/>
      <c r="BH27" s="361"/>
      <c r="BI27" s="364"/>
      <c r="BJ27" s="363"/>
      <c r="BK27" s="362"/>
      <c r="BL27" s="362"/>
      <c r="BM27" s="362"/>
      <c r="BN27" s="362"/>
      <c r="BO27" s="362"/>
      <c r="BP27" s="361"/>
      <c r="BQ27" s="364"/>
      <c r="BR27" s="363"/>
      <c r="BS27" s="362"/>
      <c r="BT27" s="362"/>
      <c r="BU27" s="362"/>
      <c r="BV27" s="362"/>
      <c r="BW27" s="362"/>
      <c r="BX27" s="361"/>
      <c r="BY27" s="364"/>
      <c r="BZ27" s="363"/>
      <c r="CA27" s="362"/>
      <c r="CB27" s="362"/>
      <c r="CC27" s="362"/>
      <c r="CD27" s="362"/>
      <c r="CE27" s="362"/>
      <c r="CF27" s="361"/>
      <c r="CG27" s="364"/>
      <c r="CH27" s="363"/>
      <c r="CI27" s="362"/>
      <c r="CJ27" s="362"/>
      <c r="CK27" s="362"/>
      <c r="CL27" s="362"/>
      <c r="CM27" s="362"/>
      <c r="CN27" s="361"/>
    </row>
    <row r="28" spans="1:93" ht="12.75" customHeight="1" thickTop="1">
      <c r="A28" s="325"/>
      <c r="B28" s="360"/>
      <c r="C28" s="360"/>
      <c r="D28" s="360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0"/>
      <c r="U28" s="360"/>
      <c r="V28" s="323"/>
      <c r="W28" s="309"/>
      <c r="X28" s="355" t="e">
        <v>#NAME?</v>
      </c>
      <c r="Y28" s="339"/>
      <c r="Z28" s="339"/>
      <c r="CG28" s="328"/>
      <c r="CH28" s="328"/>
      <c r="CI28" s="328"/>
      <c r="CJ28" s="328"/>
      <c r="CK28" s="328"/>
      <c r="CL28" s="328"/>
      <c r="CM28" s="328"/>
      <c r="CN28" s="328"/>
    </row>
    <row r="29" spans="1:93" ht="12.75" customHeight="1">
      <c r="A29" s="325"/>
      <c r="B29" s="360"/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0"/>
      <c r="N29" s="360"/>
      <c r="O29" s="360"/>
      <c r="P29" s="360"/>
      <c r="Q29" s="360"/>
      <c r="R29" s="360"/>
      <c r="S29" s="360"/>
      <c r="T29" s="360"/>
      <c r="U29" s="360"/>
      <c r="V29" s="323"/>
      <c r="W29" s="309"/>
      <c r="X29" s="355" t="e">
        <v>#NAME?</v>
      </c>
      <c r="Y29" s="339"/>
      <c r="Z29" s="339"/>
      <c r="CG29" s="328"/>
      <c r="CH29" s="328"/>
      <c r="CI29" s="328"/>
      <c r="CJ29" s="328"/>
      <c r="CK29" s="328"/>
      <c r="CL29" s="328"/>
      <c r="CM29" s="328"/>
      <c r="CN29" s="328"/>
    </row>
    <row r="30" spans="1:93" ht="12.75" customHeight="1" thickBot="1">
      <c r="A30" s="325"/>
      <c r="B30" s="349"/>
      <c r="C30" s="349"/>
      <c r="D30" s="349"/>
      <c r="E30" s="349"/>
      <c r="F30" s="349"/>
      <c r="G30" s="349"/>
      <c r="H30" s="349"/>
      <c r="I30" s="349"/>
      <c r="J30" s="349"/>
      <c r="K30" s="349"/>
      <c r="L30" s="349"/>
      <c r="M30" s="349"/>
      <c r="N30" s="349"/>
      <c r="O30" s="349"/>
      <c r="P30" s="349"/>
      <c r="Q30" s="349"/>
      <c r="R30" s="349"/>
      <c r="S30" s="349"/>
      <c r="T30" s="349"/>
      <c r="U30" s="349"/>
      <c r="V30" s="348"/>
      <c r="W30" s="309"/>
      <c r="X30" s="359" t="e">
        <v>#NAME?</v>
      </c>
      <c r="Y30" s="339"/>
      <c r="Z30" s="339"/>
      <c r="AB30" s="327" t="str">
        <f>A3</f>
        <v>L003</v>
      </c>
      <c r="AC30" s="327"/>
      <c r="AD30" s="327"/>
      <c r="AE30" s="327"/>
      <c r="AF30" s="327"/>
      <c r="AG30" s="327"/>
      <c r="AH30" s="327"/>
      <c r="AI30" s="327"/>
      <c r="AJ30" s="327"/>
      <c r="AK30" s="327"/>
      <c r="AL30" s="327"/>
      <c r="AM30" s="327"/>
      <c r="AN30" s="327"/>
      <c r="AO30" s="327"/>
      <c r="AP30" s="327"/>
      <c r="AQ30" s="327"/>
      <c r="AR30" s="327"/>
      <c r="AS30" s="327"/>
      <c r="AT30" s="327"/>
      <c r="AU30" s="327"/>
      <c r="AV30" s="327"/>
      <c r="AW30" s="327"/>
      <c r="AX30" s="327"/>
      <c r="AY30" s="327"/>
      <c r="AZ30" s="327"/>
      <c r="BA30" s="327"/>
      <c r="BB30" s="327"/>
      <c r="BC30" s="327"/>
      <c r="BD30" s="327"/>
      <c r="BE30" s="327"/>
      <c r="BF30" s="327"/>
      <c r="BG30" s="327"/>
      <c r="BH30" s="327"/>
      <c r="BI30" s="327"/>
      <c r="BJ30" s="327"/>
    </row>
    <row r="31" spans="1:93" ht="12.75" customHeight="1" thickBot="1">
      <c r="A31" s="325"/>
      <c r="B31" s="349"/>
      <c r="C31" s="349"/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49"/>
      <c r="R31" s="349"/>
      <c r="S31" s="349"/>
      <c r="T31" s="349"/>
      <c r="U31" s="349"/>
      <c r="V31" s="348"/>
      <c r="W31" s="309"/>
      <c r="X31" s="355"/>
      <c r="Y31" s="339"/>
      <c r="Z31" s="339"/>
      <c r="AB31" s="322" t="s">
        <v>124</v>
      </c>
      <c r="AC31" s="321"/>
      <c r="AD31" s="320"/>
      <c r="AE31" s="358">
        <f>DAY(AC5)</f>
        <v>1</v>
      </c>
      <c r="AF31" s="358">
        <f>DAY(AK5)</f>
        <v>2</v>
      </c>
      <c r="AG31" s="358">
        <f>DAY(AC10)</f>
        <v>3</v>
      </c>
      <c r="AH31" s="358">
        <f>DAY(AK10)</f>
        <v>4</v>
      </c>
      <c r="AI31" s="358">
        <f>DAY(AS10)</f>
        <v>5</v>
      </c>
      <c r="AJ31" s="358">
        <f>DAY(BA10)</f>
        <v>6</v>
      </c>
      <c r="AK31" s="358">
        <f>DAY(BI10)</f>
        <v>7</v>
      </c>
      <c r="AL31" s="358">
        <f>DAY(BQ10)</f>
        <v>8</v>
      </c>
      <c r="AM31" s="358">
        <f>DAY(BY10)</f>
        <v>9</v>
      </c>
      <c r="AN31" s="358">
        <f>DAY(AC15)</f>
        <v>10</v>
      </c>
      <c r="AO31" s="358">
        <f>DAY(AK15)</f>
        <v>11</v>
      </c>
      <c r="AP31" s="358">
        <f>DAY(AS15)</f>
        <v>12</v>
      </c>
      <c r="AQ31" s="358">
        <f>DAY(BA15)</f>
        <v>13</v>
      </c>
      <c r="AR31" s="358">
        <f>DAY(BI15)</f>
        <v>14</v>
      </c>
      <c r="AS31" s="358">
        <f>DAY(BQ15)</f>
        <v>15</v>
      </c>
      <c r="AT31" s="358">
        <f>DAY(BY15)</f>
        <v>16</v>
      </c>
      <c r="AU31" s="358">
        <f>DAY(AC20)</f>
        <v>17</v>
      </c>
      <c r="AV31" s="358">
        <f>DAY(AK20)</f>
        <v>18</v>
      </c>
      <c r="AW31" s="358">
        <f>DAY(AS20)</f>
        <v>19</v>
      </c>
      <c r="AX31" s="358">
        <f>DAY(BA20)</f>
        <v>20</v>
      </c>
      <c r="AY31" s="358">
        <f>DAY(BI20)</f>
        <v>21</v>
      </c>
      <c r="AZ31" s="358">
        <f>DAY(BQ20)</f>
        <v>22</v>
      </c>
      <c r="BA31" s="358">
        <f>DAY(BY20)</f>
        <v>23</v>
      </c>
      <c r="BB31" s="358">
        <f>DAY(AC25)</f>
        <v>24</v>
      </c>
      <c r="BC31" s="358">
        <f>DAY(AK25)</f>
        <v>25</v>
      </c>
      <c r="BD31" s="358">
        <f>DAY(AS25)</f>
        <v>26</v>
      </c>
      <c r="BE31" s="358">
        <f>DAY(BA25)</f>
        <v>27</v>
      </c>
      <c r="BF31" s="358">
        <f>DAY(BI25)</f>
        <v>28</v>
      </c>
      <c r="BG31" s="358">
        <f>DAY(BQ25)</f>
        <v>29</v>
      </c>
      <c r="BH31" s="358">
        <f>DAY(BY25)</f>
        <v>30</v>
      </c>
      <c r="BI31" s="358">
        <f>DAY(CG25)</f>
        <v>31</v>
      </c>
      <c r="BJ31" s="357" t="s">
        <v>105</v>
      </c>
      <c r="CG31" s="332"/>
      <c r="CH31" s="332"/>
      <c r="CI31" s="332"/>
      <c r="CJ31" s="332"/>
      <c r="CK31" s="332"/>
      <c r="CL31" s="332"/>
      <c r="CM31" s="332"/>
      <c r="CN31" s="332"/>
    </row>
    <row r="32" spans="1:93" ht="12.75" customHeight="1">
      <c r="A32" s="350"/>
      <c r="B32" s="349"/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349"/>
      <c r="S32" s="349"/>
      <c r="T32" s="349"/>
      <c r="U32" s="349"/>
      <c r="V32" s="348"/>
      <c r="W32" s="309"/>
      <c r="X32" s="356" t="e">
        <v>#NAME?</v>
      </c>
      <c r="Y32" s="351"/>
      <c r="Z32" s="351"/>
      <c r="AB32" s="315" t="s">
        <v>103</v>
      </c>
      <c r="AC32" s="314"/>
      <c r="AD32" s="313"/>
      <c r="AE32" s="331">
        <f>IF(DAY(S1)=AE31, Proposal!H33, 0)</f>
        <v>0</v>
      </c>
      <c r="AF32" s="331">
        <f>IF(DAY(S1)=AF31, Proposal!H33, 0)</f>
        <v>0</v>
      </c>
      <c r="AG32" s="331">
        <f>IF(DAY(S1)=AG31, Proposal!H33, 0)</f>
        <v>0</v>
      </c>
      <c r="AH32" s="331">
        <f>IF(DAY(S1)=AH31, Proposal!H33, 0)</f>
        <v>0</v>
      </c>
      <c r="AI32" s="331">
        <f>IF(DAY(S1)=AI31, Proposal!H33, 0)</f>
        <v>0</v>
      </c>
      <c r="AJ32" s="331">
        <f>IF(DAY(S1)=AJ31, Proposal!H33, 0)</f>
        <v>0</v>
      </c>
      <c r="AK32" s="331">
        <f>IF(DAY(S1)=AK31, Proposal!H33, 0)</f>
        <v>0</v>
      </c>
      <c r="AL32" s="331">
        <f>IF(DAY(S1)=AL31, Proposal!H33, 0)</f>
        <v>0</v>
      </c>
      <c r="AM32" s="331">
        <f>IF(DAY(S1)=AM31, Proposal!H33, 0)</f>
        <v>0</v>
      </c>
      <c r="AN32" s="331">
        <f>IF(DAY(S1)=AN31, Proposal!H33, 0)</f>
        <v>0</v>
      </c>
      <c r="AO32" s="331">
        <f>IF(DAY(S1)=AO31, Proposal!H33, 0)</f>
        <v>0</v>
      </c>
      <c r="AP32" s="331">
        <f>IF(DAY(S1)=AP31, Proposal!H33, 0)</f>
        <v>0</v>
      </c>
      <c r="AQ32" s="331">
        <f>IF(DAY(S1)=AQ31, Proposal!H33, 0)</f>
        <v>0</v>
      </c>
      <c r="AR32" s="331">
        <f>IF(DAY(S1)=AR31, Proposal!H33, 0)</f>
        <v>0</v>
      </c>
      <c r="AS32" s="331">
        <f>IF(DAY(S1)=AS31, Proposal!H33, 0)</f>
        <v>0</v>
      </c>
      <c r="AT32" s="331">
        <f>IF(DAY(S1)=AT31, Proposal!H33, 0)</f>
        <v>0</v>
      </c>
      <c r="AU32" s="331">
        <f>IF(DAY(S1)=AU31, Proposal!H33, 0)</f>
        <v>0</v>
      </c>
      <c r="AV32" s="331">
        <f>IF(DAY(S1)=AV31, Proposal!H33, 0)</f>
        <v>0</v>
      </c>
      <c r="AW32" s="331">
        <f>IF(DAY(S1)=AW31, Proposal!H33, 0)</f>
        <v>0</v>
      </c>
      <c r="AX32" s="331">
        <f>IF(DAY(S1)=AX31, Proposal!H33, 0)</f>
        <v>0</v>
      </c>
      <c r="AY32" s="331">
        <f>IF(DAY(S1)=AY31, Proposal!H33, 0)</f>
        <v>0</v>
      </c>
      <c r="AZ32" s="331">
        <f>IF(DAY(S1)=AZ31, Proposal!H33, 0)</f>
        <v>0</v>
      </c>
      <c r="BA32" s="331">
        <f>IF(DAY(S1)=BA31, Proposal!H33, 0)</f>
        <v>0</v>
      </c>
      <c r="BB32" s="331">
        <f>IF(DAY(S1)=BB31, Proposal!H33, 0)</f>
        <v>0</v>
      </c>
      <c r="BC32" s="331">
        <f>IF(DAY(S1)=BC31, Proposal!H33, 0)</f>
        <v>0</v>
      </c>
      <c r="BD32" s="331">
        <f>IF(DAY(S1)=BD31, Proposal!H33, 0)</f>
        <v>0</v>
      </c>
      <c r="BE32" s="331">
        <f>IF(DAY(S1)=BE31, Proposal!H33, 0)</f>
        <v>0</v>
      </c>
      <c r="BF32" s="331">
        <f>IF(DAY(S1)=BF31, Proposal!H33, 0)</f>
        <v>0</v>
      </c>
      <c r="BG32" s="331">
        <f>IF(DAY(S1)=BG31, Proposal!H33, 0)</f>
        <v>0</v>
      </c>
      <c r="BH32" s="331">
        <f>IF(DAY(S1)=BH31, Proposal!H33, 0)</f>
        <v>0</v>
      </c>
      <c r="BI32" s="331">
        <f>IF(DAY(S1)=BI31, Proposal!H33, 0)</f>
        <v>0.14678240740740742</v>
      </c>
      <c r="BJ32" s="336">
        <f t="shared" ref="BJ32:BJ37" si="0">IFERROR(SUM(AE32:BI32)/COUNTIF(AE32:BI32,"&gt;0"),0)</f>
        <v>0.14678240740740742</v>
      </c>
      <c r="BK32" s="317"/>
    </row>
    <row r="33" spans="1:63" ht="12.75" customHeight="1">
      <c r="A33" s="350"/>
      <c r="B33" s="349"/>
      <c r="C33" s="349"/>
      <c r="D33" s="349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49"/>
      <c r="S33" s="349"/>
      <c r="T33" s="349"/>
      <c r="U33" s="349"/>
      <c r="V33" s="348"/>
      <c r="W33" s="309"/>
      <c r="X33" s="355"/>
      <c r="Y33" s="339"/>
      <c r="Z33" s="339"/>
      <c r="AB33" s="315" t="s">
        <v>102</v>
      </c>
      <c r="AC33" s="314"/>
      <c r="AD33" s="313"/>
      <c r="AE33" s="331">
        <f>IF(DAY(S1)=AE31, Proposal!AL33, 0)</f>
        <v>0</v>
      </c>
      <c r="AF33" s="331">
        <f>IF(DAY(S1)=AF31, Proposal!AL33, 0)</f>
        <v>0</v>
      </c>
      <c r="AG33" s="331">
        <f>IF(DAY(S1)=AG31, Proposal!AL33, 0)</f>
        <v>0</v>
      </c>
      <c r="AH33" s="331">
        <f>IF(DAY(S1)=AH31, Proposal!AL33, 0)</f>
        <v>0</v>
      </c>
      <c r="AI33" s="331">
        <f>IF(DAY(S1)=AI31, Proposal!AL33, 0)</f>
        <v>0</v>
      </c>
      <c r="AJ33" s="331">
        <f>IF(DAY(S1)=AJ31, Proposal!AL33, 0)</f>
        <v>0</v>
      </c>
      <c r="AK33" s="331">
        <f>IF(DAY(S1)=AK31, Proposal!AL33, 0)</f>
        <v>0</v>
      </c>
      <c r="AL33" s="331">
        <f>IF(DAY(S1)=AL31, Proposal!AL33, 0)</f>
        <v>0</v>
      </c>
      <c r="AM33" s="331">
        <f>IF(DAY(S1)=AM31, Proposal!AL33, 0)</f>
        <v>0</v>
      </c>
      <c r="AN33" s="331">
        <f>IF(DAY(S1)=AN31, Proposal!AL33, 0)</f>
        <v>0</v>
      </c>
      <c r="AO33" s="331">
        <f>IF(DAY(S1)=AO31, Proposal!AL33, 0)</f>
        <v>0</v>
      </c>
      <c r="AP33" s="331">
        <f>IF(DAY(S1)=AP31, Proposal!AL33, 0)</f>
        <v>0</v>
      </c>
      <c r="AQ33" s="331">
        <f>IF(DAY(S1)=AQ31, Proposal!AL33, 0)</f>
        <v>0</v>
      </c>
      <c r="AR33" s="331">
        <f>IF(DAY(S1)=AR31, Proposal!AL33, 0)</f>
        <v>0</v>
      </c>
      <c r="AS33" s="331">
        <f>IF(DAY(S1)=AS31, Proposal!AL33, 0)</f>
        <v>0</v>
      </c>
      <c r="AT33" s="331">
        <f>IF(DAY(S1)=AT31, Proposal!AL33, 0)</f>
        <v>0</v>
      </c>
      <c r="AU33" s="331">
        <f>IF(DAY(S1)=AU31, Proposal!AL33, 0)</f>
        <v>0</v>
      </c>
      <c r="AV33" s="331">
        <f>IF(DAY(S1)=AV31, Proposal!AL33, 0)</f>
        <v>0</v>
      </c>
      <c r="AW33" s="331">
        <f>IF(DAY(S1)=AW31, Proposal!AL33, 0)</f>
        <v>0</v>
      </c>
      <c r="AX33" s="331">
        <f>IF(DAY(S1)=AX31, Proposal!AL33, 0)</f>
        <v>0</v>
      </c>
      <c r="AY33" s="331">
        <f>IF(DAY(S1)=AY31, Proposal!AL33, 0)</f>
        <v>0</v>
      </c>
      <c r="AZ33" s="331">
        <f>IF(DAY(S1)=AZ31, Proposal!AL33, 0)</f>
        <v>0</v>
      </c>
      <c r="BA33" s="331">
        <f>IF(DAY(S1)=BA31, Proposal!AL33, 0)</f>
        <v>0</v>
      </c>
      <c r="BB33" s="331">
        <f>IF(DAY(S1)=BB31, Proposal!AL33, 0)</f>
        <v>0</v>
      </c>
      <c r="BC33" s="331">
        <f>IF(DAY(S1)=BC31, Proposal!AL33, 0)</f>
        <v>0</v>
      </c>
      <c r="BD33" s="331">
        <f>IF(DAY(S1)=BD31, Proposal!AL33, 0)</f>
        <v>0</v>
      </c>
      <c r="BE33" s="331">
        <f>IF(DAY(S1)=BE31, Proposal!AL33, 0)</f>
        <v>0</v>
      </c>
      <c r="BF33" s="331">
        <f>IF(DAY(S1)=BF31, Proposal!AL33, 0)</f>
        <v>0</v>
      </c>
      <c r="BG33" s="331">
        <f>IF(DAY(S1)=BG31, Proposal!AL33, 0)</f>
        <v>0</v>
      </c>
      <c r="BH33" s="331">
        <f>IF(DAY(S1)=BH31, Proposal!AL33, 0)</f>
        <v>0</v>
      </c>
      <c r="BI33" s="331">
        <f>IF(DAY(S1)=BI31, Proposal!AL33, 0)</f>
        <v>7.5505981645362166E-3</v>
      </c>
      <c r="BJ33" s="336">
        <f t="shared" si="0"/>
        <v>7.5505981645362166E-3</v>
      </c>
      <c r="BK33" s="317"/>
    </row>
    <row r="34" spans="1:63" ht="12.75" customHeight="1">
      <c r="A34" s="350"/>
      <c r="B34" s="349"/>
      <c r="C34" s="349"/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349"/>
      <c r="O34" s="349"/>
      <c r="P34" s="349"/>
      <c r="Q34" s="349"/>
      <c r="R34" s="349"/>
      <c r="S34" s="349"/>
      <c r="T34" s="349"/>
      <c r="U34" s="349"/>
      <c r="V34" s="348"/>
      <c r="W34" s="309"/>
      <c r="X34" s="355" t="s">
        <v>132</v>
      </c>
      <c r="Y34" s="339"/>
      <c r="Z34" s="339"/>
      <c r="AB34" s="315" t="s">
        <v>101</v>
      </c>
      <c r="AC34" s="314"/>
      <c r="AD34" s="313"/>
      <c r="AE34" s="331">
        <f>IF(DAY(S1)=AE31, Proposal!AP33, 0)</f>
        <v>0</v>
      </c>
      <c r="AF34" s="331">
        <f>IF(DAY(S1)=AF31, Proposal!AP33, 0)</f>
        <v>0</v>
      </c>
      <c r="AG34" s="331">
        <f>IF(DAY(S1)=AG31, Proposal!AP33, 0)</f>
        <v>0</v>
      </c>
      <c r="AH34" s="331">
        <f>IF(DAY(S1)=AH31, Proposal!AP33, 0)</f>
        <v>0</v>
      </c>
      <c r="AI34" s="331">
        <f>IF(DAY(S1)=AI31, Proposal!AP33, 0)</f>
        <v>0</v>
      </c>
      <c r="AJ34" s="331">
        <f>IF(DAY(S1)=AJ31, Proposal!AP33, 0)</f>
        <v>0</v>
      </c>
      <c r="AK34" s="331">
        <f>IF(DAY(S1)=AK31, Proposal!AP33, 0)</f>
        <v>0</v>
      </c>
      <c r="AL34" s="331">
        <f>IF(DAY(S1)=AL31, Proposal!AP33, 0)</f>
        <v>0</v>
      </c>
      <c r="AM34" s="331">
        <f>IF(DAY(S1)=AM31, Proposal!AP33, 0)</f>
        <v>0</v>
      </c>
      <c r="AN34" s="331">
        <f>IF(DAY(S1)=AN31, Proposal!AP33, 0)</f>
        <v>0</v>
      </c>
      <c r="AO34" s="331">
        <f>IF(DAY(S1)=AO31, Proposal!AP33, 0)</f>
        <v>0</v>
      </c>
      <c r="AP34" s="331">
        <f>IF(DAY(S1)=AP31, Proposal!AP33, 0)</f>
        <v>0</v>
      </c>
      <c r="AQ34" s="331">
        <f>IF(DAY(S1)=AQ31, Proposal!AP33, 0)</f>
        <v>0</v>
      </c>
      <c r="AR34" s="331">
        <f>IF(DAY(S1)=AR31, Proposal!AP33, 0)</f>
        <v>0</v>
      </c>
      <c r="AS34" s="331">
        <f>IF(DAY(S1)=AS31, Proposal!AP33, 0)</f>
        <v>0</v>
      </c>
      <c r="AT34" s="331">
        <f>IF(DAY(S1)=AT31, Proposal!AP33, 0)</f>
        <v>0</v>
      </c>
      <c r="AU34" s="331">
        <f>IF(DAY(S1)=AU31, Proposal!AP33, 0)</f>
        <v>0</v>
      </c>
      <c r="AV34" s="331">
        <f>IF(DAY(S1)=AV31, Proposal!AP33, 0)</f>
        <v>0</v>
      </c>
      <c r="AW34" s="331">
        <f>IF(DAY(S1)=AW31, Proposal!AP33, 0)</f>
        <v>0</v>
      </c>
      <c r="AX34" s="331">
        <f>IF(DAY(S1)=AX31, Proposal!AP33, 0)</f>
        <v>0</v>
      </c>
      <c r="AY34" s="331">
        <f>IF(DAY(S1)=AY31, Proposal!AP33, 0)</f>
        <v>0</v>
      </c>
      <c r="AZ34" s="331">
        <f>IF(DAY(S1)=AZ31, Proposal!AP33, 0)</f>
        <v>0</v>
      </c>
      <c r="BA34" s="331">
        <f>IF(DAY(S1)=BA31, Proposal!AP33, 0)</f>
        <v>0</v>
      </c>
      <c r="BB34" s="331">
        <f>IF(DAY(S1)=BB31, Proposal!AP33, 0)</f>
        <v>0</v>
      </c>
      <c r="BC34" s="331">
        <f>IF(DAY(S1)=BC31, Proposal!AP33, 0)</f>
        <v>0</v>
      </c>
      <c r="BD34" s="331">
        <f>IF(DAY(S1)=BD31, Proposal!AP33, 0)</f>
        <v>0</v>
      </c>
      <c r="BE34" s="331">
        <f>IF(DAY(S1)=BE31, Proposal!AP33, 0)</f>
        <v>0</v>
      </c>
      <c r="BF34" s="331">
        <f>IF(DAY(S1)=BF31, Proposal!AP33, 0)</f>
        <v>0</v>
      </c>
      <c r="BG34" s="331">
        <f>IF(DAY(S1)=BG31, Proposal!AP33, 0)</f>
        <v>0</v>
      </c>
      <c r="BH34" s="331">
        <f>IF(DAY(S1)=BH31, Proposal!AP33, 0)</f>
        <v>0</v>
      </c>
      <c r="BI34" s="331">
        <f>IF(DAY(S1)=BI31, Proposal!AP33, 0)</f>
        <v>0.15101196329072433</v>
      </c>
      <c r="BJ34" s="336">
        <f t="shared" si="0"/>
        <v>0.15101196329072433</v>
      </c>
      <c r="BK34" s="317"/>
    </row>
    <row r="35" spans="1:63" ht="12.75" customHeight="1" thickBot="1">
      <c r="A35" s="350"/>
      <c r="B35" s="349"/>
      <c r="C35" s="349"/>
      <c r="D35" s="349"/>
      <c r="E35" s="349"/>
      <c r="F35" s="349"/>
      <c r="G35" s="349"/>
      <c r="H35" s="349"/>
      <c r="I35" s="349"/>
      <c r="J35" s="349"/>
      <c r="K35" s="349"/>
      <c r="L35" s="349"/>
      <c r="M35" s="349"/>
      <c r="N35" s="349"/>
      <c r="O35" s="349"/>
      <c r="P35" s="349"/>
      <c r="Q35" s="349"/>
      <c r="R35" s="349"/>
      <c r="S35" s="349"/>
      <c r="T35" s="349"/>
      <c r="U35" s="349"/>
      <c r="V35" s="348"/>
      <c r="W35" s="309"/>
      <c r="X35" s="355" t="e">
        <v>#NAME?</v>
      </c>
      <c r="Y35" s="339"/>
      <c r="Z35" s="339"/>
      <c r="AB35" s="315" t="s">
        <v>100</v>
      </c>
      <c r="AC35" s="314"/>
      <c r="AD35" s="313"/>
      <c r="AE35" s="331">
        <f>IF(DAY(S1)=AE31, Proposal!AO33, 0)</f>
        <v>0</v>
      </c>
      <c r="AF35" s="331">
        <f>IF(DAY(S1)=AF31, Proposal!AO33, 0)</f>
        <v>0</v>
      </c>
      <c r="AG35" s="331">
        <f>IF(DAY(S1)=AG31, Proposal!AO33, 0)</f>
        <v>0</v>
      </c>
      <c r="AH35" s="331">
        <f>IF(DAY(S1)=AH31, Proposal!AO33, 0)</f>
        <v>0</v>
      </c>
      <c r="AI35" s="331">
        <f>IF(DAY(S1)=AI31, Proposal!AO33, 0)</f>
        <v>0</v>
      </c>
      <c r="AJ35" s="331">
        <f>IF(DAY(S1)=AJ31, Proposal!AO33, 0)</f>
        <v>0</v>
      </c>
      <c r="AK35" s="331">
        <f>IF(DAY(S1)=AK31, Proposal!AO33, 0)</f>
        <v>0</v>
      </c>
      <c r="AL35" s="331">
        <f>IF(DAY(S1)=AL31, Proposal!AO33, 0)</f>
        <v>0</v>
      </c>
      <c r="AM35" s="331">
        <f>IF(DAY(S1)=AM31, Proposal!AO33, 0)</f>
        <v>0</v>
      </c>
      <c r="AN35" s="331">
        <f>IF(DAY(S1)=AN31, Proposal!AO33, 0)</f>
        <v>0</v>
      </c>
      <c r="AO35" s="331">
        <f>IF(DAY(S1)=AO31, Proposal!AO33, 0)</f>
        <v>0</v>
      </c>
      <c r="AP35" s="331">
        <f>IF(DAY(S1)=AP31, Proposal!AO33, 0)</f>
        <v>0</v>
      </c>
      <c r="AQ35" s="331">
        <f>IF(DAY(S1)=AQ31, Proposal!AO33, 0)</f>
        <v>0</v>
      </c>
      <c r="AR35" s="331">
        <f>IF(DAY(S1)=AR31, Proposal!AO33, 0)</f>
        <v>0</v>
      </c>
      <c r="AS35" s="331">
        <f>IF(DAY(S1)=AS31, Proposal!AO33, 0)</f>
        <v>0</v>
      </c>
      <c r="AT35" s="331">
        <f>IF(DAY(S1)=AT31, Proposal!AO33, 0)</f>
        <v>0</v>
      </c>
      <c r="AU35" s="331">
        <f>IF(DAY(S1)=AU31, Proposal!AO33, 0)</f>
        <v>0</v>
      </c>
      <c r="AV35" s="331">
        <f>IF(DAY(S1)=AV31, Proposal!AO33, 0)</f>
        <v>0</v>
      </c>
      <c r="AW35" s="331">
        <f>IF(DAY(S1)=AW31, Proposal!AO33, 0)</f>
        <v>0</v>
      </c>
      <c r="AX35" s="331">
        <f>IF(DAY(S1)=AX31, Proposal!AO33, 0)</f>
        <v>0</v>
      </c>
      <c r="AY35" s="331">
        <f>IF(DAY(S1)=AY31, Proposal!AO33, 0)</f>
        <v>0</v>
      </c>
      <c r="AZ35" s="331">
        <f>IF(DAY(S1)=AZ31, Proposal!AO33, 0)</f>
        <v>0</v>
      </c>
      <c r="BA35" s="331">
        <f>IF(DAY(S1)=BA31, Proposal!AO33, 0)</f>
        <v>0</v>
      </c>
      <c r="BB35" s="331">
        <f>IF(DAY(S1)=BB31, Proposal!AO33, 0)</f>
        <v>0</v>
      </c>
      <c r="BC35" s="331">
        <f>IF(DAY(S1)=BC31, Proposal!AO33, 0)</f>
        <v>0</v>
      </c>
      <c r="BD35" s="331">
        <f>IF(DAY(S1)=BD31, Proposal!AO33, 0)</f>
        <v>0</v>
      </c>
      <c r="BE35" s="331">
        <f>IF(DAY(S1)=BE31, Proposal!AO33, 0)</f>
        <v>0</v>
      </c>
      <c r="BF35" s="331">
        <f>IF(DAY(S1)=BF31, Proposal!AO33, 0)</f>
        <v>0</v>
      </c>
      <c r="BG35" s="331">
        <f>IF(DAY(S1)=BG31, Proposal!AO33, 0)</f>
        <v>0</v>
      </c>
      <c r="BH35" s="331">
        <f>IF(DAY(S1)=BH31, Proposal!AO33, 0)</f>
        <v>0</v>
      </c>
      <c r="BI35" s="331">
        <f>IF(DAY(S1)=BI31, Proposal!AO33, 0)</f>
        <v>0.38004677428165623</v>
      </c>
      <c r="BJ35" s="336">
        <f t="shared" si="0"/>
        <v>0.38004677428165623</v>
      </c>
      <c r="BK35" s="317"/>
    </row>
    <row r="36" spans="1:63" ht="12.75" customHeight="1" thickBot="1">
      <c r="A36" s="350"/>
      <c r="B36" s="349"/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48"/>
      <c r="W36" s="309"/>
      <c r="X36" s="354"/>
      <c r="Y36" s="339"/>
      <c r="Z36" s="339"/>
      <c r="AB36" s="315" t="s">
        <v>99</v>
      </c>
      <c r="AC36" s="314"/>
      <c r="AD36" s="313"/>
      <c r="AE36" s="331">
        <f>IF(DAY(S1)=AE31, Proposal!AN33, 0)</f>
        <v>0</v>
      </c>
      <c r="AF36" s="331">
        <f>IF(DAY(S1)=AF31, Proposal!AN33, 0)</f>
        <v>0</v>
      </c>
      <c r="AG36" s="331">
        <f>IF(DAY(S1)=AG31, Proposal!AN33, 0)</f>
        <v>0</v>
      </c>
      <c r="AH36" s="331">
        <f>IF(DAY(S1)=AH31, Proposal!AN33, 0)</f>
        <v>0</v>
      </c>
      <c r="AI36" s="331">
        <f>IF(DAY(S1)=AI31, Proposal!AN33, 0)</f>
        <v>0</v>
      </c>
      <c r="AJ36" s="331">
        <f>IF(DAY(S1)=AJ31, Proposal!AN33, 0)</f>
        <v>0</v>
      </c>
      <c r="AK36" s="331">
        <f>IF(DAY(S1)=AK31, Proposal!AN33, 0)</f>
        <v>0</v>
      </c>
      <c r="AL36" s="331">
        <f>IF(DAY(S1)=AL31, Proposal!AN33, 0)</f>
        <v>0</v>
      </c>
      <c r="AM36" s="331">
        <f>IF(DAY(S1)=AM31, Proposal!AN33, 0)</f>
        <v>0</v>
      </c>
      <c r="AN36" s="331">
        <f>IF(DAY(S1)=AN31, Proposal!AN33, 0)</f>
        <v>0</v>
      </c>
      <c r="AO36" s="331">
        <f>IF(DAY(S1)=AO31, Proposal!AN33, 0)</f>
        <v>0</v>
      </c>
      <c r="AP36" s="331">
        <f>IF(DAY(S1)=AP31, Proposal!AN33, 0)</f>
        <v>0</v>
      </c>
      <c r="AQ36" s="331">
        <f>IF(DAY(S1)=AQ31, Proposal!AN33, 0)</f>
        <v>0</v>
      </c>
      <c r="AR36" s="331">
        <f>IF(DAY(S1)=AR31, Proposal!AN33, 0)</f>
        <v>0</v>
      </c>
      <c r="AS36" s="331">
        <f>IF(DAY(S1)=AS31, Proposal!AN33, 0)</f>
        <v>0</v>
      </c>
      <c r="AT36" s="331">
        <f>IF(DAY(S1)=AT31, Proposal!AN33, 0)</f>
        <v>0</v>
      </c>
      <c r="AU36" s="331">
        <f>IF(DAY(S1)=AU31, Proposal!AN33, 0)</f>
        <v>0</v>
      </c>
      <c r="AV36" s="331">
        <f>IF(DAY(S1)=AV31, Proposal!AN33, 0)</f>
        <v>0</v>
      </c>
      <c r="AW36" s="331">
        <f>IF(DAY(S1)=AW31, Proposal!AN33, 0)</f>
        <v>0</v>
      </c>
      <c r="AX36" s="331">
        <f>IF(DAY(S1)=AX31, Proposal!AN33, 0)</f>
        <v>0</v>
      </c>
      <c r="AY36" s="331">
        <f>IF(DAY(S1)=AY31, Proposal!AN33, 0)</f>
        <v>0</v>
      </c>
      <c r="AZ36" s="331">
        <f>IF(DAY(S1)=AZ31, Proposal!AN33, 0)</f>
        <v>0</v>
      </c>
      <c r="BA36" s="331">
        <f>IF(DAY(S1)=BA31, Proposal!AN33, 0)</f>
        <v>0</v>
      </c>
      <c r="BB36" s="331">
        <f>IF(DAY(S1)=BB31, Proposal!AN33, 0)</f>
        <v>0</v>
      </c>
      <c r="BC36" s="331">
        <f>IF(DAY(S1)=BC31, Proposal!AN33, 0)</f>
        <v>0</v>
      </c>
      <c r="BD36" s="331">
        <f>IF(DAY(S1)=BD31, Proposal!AN33, 0)</f>
        <v>0</v>
      </c>
      <c r="BE36" s="331">
        <f>IF(DAY(S1)=BE31, Proposal!AN33, 0)</f>
        <v>0</v>
      </c>
      <c r="BF36" s="331">
        <f>IF(DAY(S1)=BF31, Proposal!AN33, 0)</f>
        <v>0</v>
      </c>
      <c r="BG36" s="331">
        <f>IF(DAY(S1)=BG31, Proposal!AN33, 0)</f>
        <v>0</v>
      </c>
      <c r="BH36" s="331">
        <f>IF(DAY(S1)=BH31, Proposal!AN33, 0)</f>
        <v>0</v>
      </c>
      <c r="BI36" s="331">
        <f>IF(DAY(S1)=BI31, Proposal!AN33, 0)</f>
        <v>0.31460825685567573</v>
      </c>
      <c r="BJ36" s="336">
        <f t="shared" si="0"/>
        <v>0.31460825685567573</v>
      </c>
      <c r="BK36" s="317"/>
    </row>
    <row r="37" spans="1:63" ht="12.75" customHeight="1" thickBot="1">
      <c r="A37" s="350"/>
      <c r="B37" s="349"/>
      <c r="C37" s="349"/>
      <c r="D37" s="349"/>
      <c r="E37" s="349"/>
      <c r="F37" s="349"/>
      <c r="G37" s="349"/>
      <c r="H37" s="349"/>
      <c r="I37" s="349"/>
      <c r="J37" s="349"/>
      <c r="K37" s="349"/>
      <c r="L37" s="349"/>
      <c r="M37" s="349"/>
      <c r="N37" s="349"/>
      <c r="O37" s="349"/>
      <c r="P37" s="349"/>
      <c r="Q37" s="349"/>
      <c r="R37" s="349"/>
      <c r="S37" s="349"/>
      <c r="T37" s="349"/>
      <c r="U37" s="349"/>
      <c r="V37" s="348"/>
      <c r="W37" s="353"/>
      <c r="X37" s="352" t="e">
        <v>#NAME?</v>
      </c>
      <c r="Y37" s="351"/>
      <c r="Z37" s="351"/>
      <c r="AB37" s="315" t="s">
        <v>98</v>
      </c>
      <c r="AC37" s="314"/>
      <c r="AD37" s="313"/>
      <c r="AE37" s="331">
        <f>IF(DAY(S1)=AE31, Proposal!AQ33, 0)</f>
        <v>0</v>
      </c>
      <c r="AF37" s="331">
        <f>IF(DAY(S1)=AF31, Proposal!AQ33, 0)</f>
        <v>0</v>
      </c>
      <c r="AG37" s="331">
        <f>IF(DAY(S1)=AG31, Proposal!AQ33, 0)</f>
        <v>0</v>
      </c>
      <c r="AH37" s="331">
        <f>IF(DAY(S1)=AH31, Proposal!AQ33, 0)</f>
        <v>0</v>
      </c>
      <c r="AI37" s="331">
        <f>IF(DAY(S1)=AI31, Proposal!AQ33, 0)</f>
        <v>0</v>
      </c>
      <c r="AJ37" s="331">
        <f>IF(DAY(S1)=AJ31, Proposal!AQ33, 0)</f>
        <v>0</v>
      </c>
      <c r="AK37" s="331">
        <f>IF(DAY(S1)=AK31, Proposal!AQ33, 0)</f>
        <v>0</v>
      </c>
      <c r="AL37" s="331">
        <f>IF(DAY(S1)=AL31, Proposal!AQ33, 0)</f>
        <v>0</v>
      </c>
      <c r="AM37" s="331">
        <f>IF(DAY(S1)=AM31, Proposal!AQ33, 0)</f>
        <v>0</v>
      </c>
      <c r="AN37" s="331">
        <f>IF(DAY(S1)=AN31, Proposal!AQ33, 0)</f>
        <v>0</v>
      </c>
      <c r="AO37" s="331">
        <f>IF(DAY(S1)=AO31, Proposal!AQ33, 0)</f>
        <v>0</v>
      </c>
      <c r="AP37" s="331">
        <f>IF(DAY(S1)=AP31, Proposal!AQ33, 0)</f>
        <v>0</v>
      </c>
      <c r="AQ37" s="331">
        <f>IF(DAY(S1)=AQ31, Proposal!AQ33, 0)</f>
        <v>0</v>
      </c>
      <c r="AR37" s="331">
        <f>IF(DAY(S1)=AR31, Proposal!AQ33, 0)</f>
        <v>0</v>
      </c>
      <c r="AS37" s="331">
        <f>IF(DAY(S1)=AS31, Proposal!AQ33, 0)</f>
        <v>0</v>
      </c>
      <c r="AT37" s="331">
        <f>IF(DAY(S1)=AT31, Proposal!AQ33, 0)</f>
        <v>0</v>
      </c>
      <c r="AU37" s="331">
        <f>IF(DAY(S1)=AU31, Proposal!AQ33, 0)</f>
        <v>0</v>
      </c>
      <c r="AV37" s="331">
        <f>IF(DAY(S1)=AV31, Proposal!AQ33, 0)</f>
        <v>0</v>
      </c>
      <c r="AW37" s="331">
        <f>IF(DAY(S1)=AW31, Proposal!AQ33, 0)</f>
        <v>0</v>
      </c>
      <c r="AX37" s="331">
        <f>IF(DAY(S1)=AX31, Proposal!AQ33, 0)</f>
        <v>0</v>
      </c>
      <c r="AY37" s="331">
        <f>IF(DAY(S1)=AY31, Proposal!AQ33, 0)</f>
        <v>0</v>
      </c>
      <c r="AZ37" s="331">
        <f>IF(DAY(S1)=AZ31, Proposal!AQ33, 0)</f>
        <v>0</v>
      </c>
      <c r="BA37" s="331">
        <f>IF(DAY(S1)=BA31, Proposal!AQ33, 0)</f>
        <v>0</v>
      </c>
      <c r="BB37" s="331">
        <f>IF(DAY(S1)=BB31, Proposal!AQ33, 0)</f>
        <v>0</v>
      </c>
      <c r="BC37" s="331">
        <f>IF(DAY(S1)=BC31, Proposal!AQ33, 0)</f>
        <v>0</v>
      </c>
      <c r="BD37" s="331">
        <f>IF(DAY(S1)=BD31, Proposal!AQ33, 0)</f>
        <v>0</v>
      </c>
      <c r="BE37" s="331">
        <f>IF(DAY(S1)=BE31, Proposal!AQ33, 0)</f>
        <v>0</v>
      </c>
      <c r="BF37" s="331">
        <f>IF(DAY(S1)=BF31, Proposal!AQ33, 0)</f>
        <v>0</v>
      </c>
      <c r="BG37" s="331">
        <f>IF(DAY(S1)=BG31, Proposal!AQ33, 0)</f>
        <v>0</v>
      </c>
      <c r="BH37" s="331">
        <f>IF(DAY(S1)=BH31, Proposal!AQ33, 0)</f>
        <v>0</v>
      </c>
      <c r="BI37" s="331">
        <f>IF(DAY(S1)=BI31, Proposal!AQ33, 0)</f>
        <v>0</v>
      </c>
      <c r="BJ37" s="336">
        <f t="shared" si="0"/>
        <v>0</v>
      </c>
      <c r="BK37" s="317"/>
    </row>
    <row r="38" spans="1:63" ht="12.75" customHeight="1" thickTop="1">
      <c r="A38" s="350"/>
      <c r="B38" s="349"/>
      <c r="C38" s="349"/>
      <c r="D38" s="349"/>
      <c r="E38" s="349"/>
      <c r="F38" s="349"/>
      <c r="G38" s="349"/>
      <c r="H38" s="349"/>
      <c r="I38" s="349"/>
      <c r="J38" s="349"/>
      <c r="K38" s="349"/>
      <c r="L38" s="349"/>
      <c r="M38" s="349"/>
      <c r="N38" s="349"/>
      <c r="O38" s="349"/>
      <c r="P38" s="349"/>
      <c r="Q38" s="349"/>
      <c r="R38" s="349"/>
      <c r="S38" s="349"/>
      <c r="T38" s="349"/>
      <c r="U38" s="349"/>
      <c r="V38" s="348"/>
      <c r="X38" s="340" t="e">
        <v>#NAME?</v>
      </c>
      <c r="Y38" s="339"/>
      <c r="Z38" s="339"/>
      <c r="AB38" s="315" t="s">
        <v>97</v>
      </c>
      <c r="AC38" s="314"/>
      <c r="AD38" s="313"/>
      <c r="AE38" s="331">
        <f>AO48</f>
        <v>0.85</v>
      </c>
      <c r="AF38" s="331">
        <f t="shared" ref="AF38:BI38" si="1">AE38</f>
        <v>0.85</v>
      </c>
      <c r="AG38" s="331">
        <f t="shared" si="1"/>
        <v>0.85</v>
      </c>
      <c r="AH38" s="331">
        <f t="shared" si="1"/>
        <v>0.85</v>
      </c>
      <c r="AI38" s="331">
        <f t="shared" si="1"/>
        <v>0.85</v>
      </c>
      <c r="AJ38" s="331">
        <f t="shared" si="1"/>
        <v>0.85</v>
      </c>
      <c r="AK38" s="331">
        <f t="shared" si="1"/>
        <v>0.85</v>
      </c>
      <c r="AL38" s="331">
        <f t="shared" si="1"/>
        <v>0.85</v>
      </c>
      <c r="AM38" s="331">
        <f t="shared" si="1"/>
        <v>0.85</v>
      </c>
      <c r="AN38" s="331">
        <f t="shared" si="1"/>
        <v>0.85</v>
      </c>
      <c r="AO38" s="331">
        <f t="shared" si="1"/>
        <v>0.85</v>
      </c>
      <c r="AP38" s="331">
        <f t="shared" si="1"/>
        <v>0.85</v>
      </c>
      <c r="AQ38" s="331">
        <f t="shared" si="1"/>
        <v>0.85</v>
      </c>
      <c r="AR38" s="331">
        <f t="shared" si="1"/>
        <v>0.85</v>
      </c>
      <c r="AS38" s="331">
        <f t="shared" si="1"/>
        <v>0.85</v>
      </c>
      <c r="AT38" s="331">
        <f t="shared" si="1"/>
        <v>0.85</v>
      </c>
      <c r="AU38" s="331">
        <f t="shared" si="1"/>
        <v>0.85</v>
      </c>
      <c r="AV38" s="331">
        <f t="shared" si="1"/>
        <v>0.85</v>
      </c>
      <c r="AW38" s="331">
        <f t="shared" si="1"/>
        <v>0.85</v>
      </c>
      <c r="AX38" s="331">
        <f t="shared" si="1"/>
        <v>0.85</v>
      </c>
      <c r="AY38" s="331">
        <f t="shared" si="1"/>
        <v>0.85</v>
      </c>
      <c r="AZ38" s="331">
        <f t="shared" si="1"/>
        <v>0.85</v>
      </c>
      <c r="BA38" s="331">
        <f t="shared" si="1"/>
        <v>0.85</v>
      </c>
      <c r="BB38" s="331">
        <f t="shared" si="1"/>
        <v>0.85</v>
      </c>
      <c r="BC38" s="331">
        <f t="shared" si="1"/>
        <v>0.85</v>
      </c>
      <c r="BD38" s="331">
        <f t="shared" si="1"/>
        <v>0.85</v>
      </c>
      <c r="BE38" s="331">
        <f t="shared" si="1"/>
        <v>0.85</v>
      </c>
      <c r="BF38" s="331">
        <f t="shared" si="1"/>
        <v>0.85</v>
      </c>
      <c r="BG38" s="331">
        <f t="shared" si="1"/>
        <v>0.85</v>
      </c>
      <c r="BH38" s="331">
        <f t="shared" si="1"/>
        <v>0.85</v>
      </c>
      <c r="BI38" s="331">
        <f t="shared" si="1"/>
        <v>0.85</v>
      </c>
      <c r="BJ38" s="331"/>
      <c r="BK38" s="317"/>
    </row>
    <row r="39" spans="1:63" ht="12.75" customHeight="1">
      <c r="A39" s="350"/>
      <c r="B39" s="349"/>
      <c r="C39" s="349"/>
      <c r="D39" s="349"/>
      <c r="E39" s="349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348"/>
      <c r="X39" s="340" t="s">
        <v>136</v>
      </c>
      <c r="Y39" s="339"/>
      <c r="Z39" s="339"/>
      <c r="AB39" s="328"/>
      <c r="AC39" s="328"/>
      <c r="AD39" s="328"/>
      <c r="BK39" s="317"/>
    </row>
    <row r="40" spans="1:63" ht="12.75" customHeight="1">
      <c r="A40" s="350"/>
      <c r="B40" s="349"/>
      <c r="C40" s="349"/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48"/>
      <c r="X40" s="340" t="e">
        <v>#NAME?</v>
      </c>
      <c r="Y40" s="339"/>
      <c r="Z40" s="339"/>
      <c r="AB40" s="327" t="str">
        <f>A3</f>
        <v>L003</v>
      </c>
      <c r="AC40" s="327"/>
      <c r="AD40" s="327"/>
      <c r="AE40" s="327"/>
      <c r="AF40" s="327"/>
      <c r="AG40" s="327"/>
      <c r="AH40" s="327"/>
      <c r="AI40" s="327"/>
      <c r="AJ40" s="327"/>
      <c r="AK40" s="327"/>
      <c r="AL40" s="327"/>
      <c r="AM40" s="327"/>
      <c r="AN40" s="327"/>
      <c r="AO40" s="327"/>
      <c r="AP40" s="327"/>
      <c r="AQ40" s="327"/>
      <c r="AR40" s="327"/>
      <c r="AS40" s="327"/>
      <c r="AT40" s="328"/>
      <c r="AU40" s="328"/>
      <c r="AV40" s="317"/>
      <c r="AW40" s="317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</row>
    <row r="41" spans="1:63" ht="12.75" customHeight="1">
      <c r="A41" s="347"/>
      <c r="B41" s="345"/>
      <c r="C41" s="345"/>
      <c r="D41" s="346"/>
      <c r="E41" s="345"/>
      <c r="F41" s="345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5"/>
      <c r="V41" s="333"/>
      <c r="X41" s="340" t="e">
        <v>#NAME?</v>
      </c>
      <c r="Y41" s="339"/>
      <c r="Z41" s="339"/>
      <c r="AB41" s="322" t="s">
        <v>123</v>
      </c>
      <c r="AC41" s="321"/>
      <c r="AD41" s="320"/>
      <c r="AE41" s="341" t="s">
        <v>122</v>
      </c>
      <c r="AF41" s="343" t="s">
        <v>119</v>
      </c>
      <c r="AG41" s="343" t="s">
        <v>121</v>
      </c>
      <c r="AH41" s="343" t="s">
        <v>120</v>
      </c>
      <c r="AI41" s="343" t="s">
        <v>118</v>
      </c>
      <c r="AJ41" s="343" t="s">
        <v>120</v>
      </c>
      <c r="AK41" s="343" t="s">
        <v>119</v>
      </c>
      <c r="AL41" s="343" t="s">
        <v>119</v>
      </c>
      <c r="AM41" s="343" t="s">
        <v>118</v>
      </c>
      <c r="AN41" s="344" t="s">
        <v>117</v>
      </c>
      <c r="AO41" s="343" t="s">
        <v>116</v>
      </c>
      <c r="AP41" s="343" t="s">
        <v>115</v>
      </c>
      <c r="AQ41" s="343" t="s">
        <v>114</v>
      </c>
      <c r="AR41" s="342" t="s">
        <v>113</v>
      </c>
      <c r="AS41" s="341" t="s">
        <v>112</v>
      </c>
      <c r="AT41" s="317"/>
      <c r="AU41" s="317"/>
      <c r="AV41" s="317"/>
      <c r="AW41" s="317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</row>
    <row r="42" spans="1:63" ht="12.75" customHeight="1">
      <c r="A42" s="3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3"/>
      <c r="X42" s="340" t="e">
        <v>#NAME?</v>
      </c>
      <c r="Y42" s="339"/>
      <c r="Z42" s="339"/>
      <c r="AB42" s="315" t="s">
        <v>103</v>
      </c>
      <c r="AC42" s="314"/>
      <c r="AD42" s="313"/>
      <c r="AE42" s="337">
        <v>0.59499999999999997</v>
      </c>
      <c r="AF42" s="337"/>
      <c r="AG42" s="337"/>
      <c r="AH42" s="337"/>
      <c r="AI42" s="337">
        <v>0.40799999999999997</v>
      </c>
      <c r="AJ42" s="337">
        <v>0.45500000000000002</v>
      </c>
      <c r="AK42" s="337">
        <v>0.54700000000000004</v>
      </c>
      <c r="AL42" s="338">
        <v>0.58074074074074056</v>
      </c>
      <c r="AM42" s="336">
        <v>0.52928571428571447</v>
      </c>
      <c r="AN42" s="337">
        <v>0.55809523809523809</v>
      </c>
      <c r="AO42" s="337">
        <f t="shared" ref="AO42:AO47" si="2">BJ32</f>
        <v>0.14678240740740742</v>
      </c>
      <c r="AP42" s="337"/>
      <c r="AQ42" s="337"/>
      <c r="AR42" s="336">
        <f>IFERROR(SUM(AF42:AQ42)/COUNTIF(AF42:AQ42,"&gt;0"),0)</f>
        <v>0.4607005857898715</v>
      </c>
      <c r="AS42" s="331">
        <v>0.68</v>
      </c>
      <c r="AV42" s="317"/>
      <c r="AW42" s="317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</row>
    <row r="43" spans="1:63" ht="12.75" customHeight="1">
      <c r="A43" s="3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3"/>
      <c r="X43" s="340"/>
      <c r="Y43" s="339"/>
      <c r="Z43" s="339"/>
      <c r="AB43" s="315" t="s">
        <v>102</v>
      </c>
      <c r="AC43" s="314"/>
      <c r="AD43" s="313"/>
      <c r="AE43" s="337">
        <v>0.10100000000000001</v>
      </c>
      <c r="AF43" s="337"/>
      <c r="AG43" s="337"/>
      <c r="AH43" s="337"/>
      <c r="AI43" s="337">
        <v>0.25</v>
      </c>
      <c r="AJ43" s="337">
        <v>0.2</v>
      </c>
      <c r="AK43" s="337">
        <v>0</v>
      </c>
      <c r="AL43" s="338">
        <v>2.5090909090909094E-2</v>
      </c>
      <c r="AM43" s="336">
        <v>2.4321428571428574E-2</v>
      </c>
      <c r="AN43" s="337">
        <v>9.7500000000000035E-3</v>
      </c>
      <c r="AO43" s="337">
        <f t="shared" si="2"/>
        <v>7.5505981645362166E-3</v>
      </c>
      <c r="AP43" s="337"/>
      <c r="AQ43" s="337"/>
      <c r="AR43" s="336">
        <f t="shared" ref="AR43:AR47" si="3">IFERROR(SUM(AF43:AQ43)/COUNTIF(AF43:AQ43,"&gt;0"),0)</f>
        <v>8.6118822637812301E-2</v>
      </c>
      <c r="AS43" s="336">
        <v>0.05</v>
      </c>
      <c r="AT43" s="317"/>
      <c r="AU43" s="317"/>
      <c r="AV43" s="317"/>
      <c r="AW43" s="317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</row>
    <row r="44" spans="1:63" ht="12.75" customHeight="1">
      <c r="A44" s="3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3"/>
      <c r="AB44" s="315" t="s">
        <v>101</v>
      </c>
      <c r="AC44" s="314"/>
      <c r="AD44" s="313"/>
      <c r="AE44" s="337">
        <v>0.21299999999999999</v>
      </c>
      <c r="AF44" s="337"/>
      <c r="AG44" s="337"/>
      <c r="AH44" s="337"/>
      <c r="AI44" s="337">
        <v>0.08</v>
      </c>
      <c r="AJ44" s="337">
        <v>0.25</v>
      </c>
      <c r="AK44" s="337">
        <v>0.14000000000000001</v>
      </c>
      <c r="AL44" s="338">
        <v>0.11711111111111111</v>
      </c>
      <c r="AM44" s="336">
        <v>0.10682142857142861</v>
      </c>
      <c r="AN44" s="337">
        <v>0.11825000000000001</v>
      </c>
      <c r="AO44" s="337">
        <f t="shared" si="2"/>
        <v>0.15101196329072433</v>
      </c>
      <c r="AP44" s="337"/>
      <c r="AQ44" s="337"/>
      <c r="AR44" s="336">
        <f t="shared" si="3"/>
        <v>0.13759921471046629</v>
      </c>
      <c r="AS44" s="336">
        <v>0.08</v>
      </c>
      <c r="AV44" s="317"/>
      <c r="AW44" s="317"/>
      <c r="AX44" s="317"/>
      <c r="AY44" s="317"/>
      <c r="AZ44" s="317"/>
      <c r="BA44" s="317"/>
      <c r="BB44" s="317"/>
      <c r="BC44" s="317"/>
      <c r="BD44" s="317"/>
      <c r="BE44" s="317"/>
      <c r="BF44" s="317"/>
      <c r="BG44" s="317"/>
      <c r="BH44" s="317"/>
      <c r="BI44" s="317"/>
      <c r="BJ44" s="317"/>
      <c r="BK44" s="317"/>
    </row>
    <row r="45" spans="1:63" ht="12.75" customHeight="1">
      <c r="A45" s="3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3"/>
      <c r="AB45" s="315" t="s">
        <v>100</v>
      </c>
      <c r="AC45" s="314"/>
      <c r="AD45" s="313"/>
      <c r="AE45" s="337">
        <v>3.5999999999999997E-2</v>
      </c>
      <c r="AF45" s="337"/>
      <c r="AG45" s="337"/>
      <c r="AH45" s="337"/>
      <c r="AI45" s="337">
        <v>0.12</v>
      </c>
      <c r="AJ45" s="337">
        <v>0.03</v>
      </c>
      <c r="AK45" s="337">
        <v>0.19600000000000001</v>
      </c>
      <c r="AL45" s="338">
        <v>0.22615384615384615</v>
      </c>
      <c r="AM45" s="336">
        <v>0.27374999999999999</v>
      </c>
      <c r="AN45" s="337">
        <v>0.23333333333333331</v>
      </c>
      <c r="AO45" s="337">
        <f t="shared" si="2"/>
        <v>0.38004677428165623</v>
      </c>
      <c r="AP45" s="337"/>
      <c r="AQ45" s="337"/>
      <c r="AR45" s="336">
        <f t="shared" si="3"/>
        <v>0.20846913625269084</v>
      </c>
      <c r="AS45" s="336">
        <v>0.15</v>
      </c>
      <c r="AV45" s="317"/>
      <c r="AW45" s="317"/>
      <c r="AX45" s="317"/>
      <c r="AY45" s="317"/>
      <c r="AZ45" s="317"/>
      <c r="BA45" s="317"/>
      <c r="BB45" s="317"/>
      <c r="BC45" s="317"/>
      <c r="BD45" s="317"/>
      <c r="BE45" s="317"/>
      <c r="BF45" s="317"/>
      <c r="BG45" s="317"/>
      <c r="BH45" s="317"/>
      <c r="BI45" s="317"/>
      <c r="BJ45" s="317"/>
      <c r="BK45" s="317"/>
    </row>
    <row r="46" spans="1:63" ht="12.75" customHeight="1">
      <c r="A46" s="3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3"/>
      <c r="AB46" s="315" t="s">
        <v>99</v>
      </c>
      <c r="AC46" s="314"/>
      <c r="AD46" s="313"/>
      <c r="AE46" s="337">
        <v>6.0000000000000001E-3</v>
      </c>
      <c r="AF46" s="337"/>
      <c r="AG46" s="337"/>
      <c r="AH46" s="337"/>
      <c r="AI46" s="337">
        <v>0.01</v>
      </c>
      <c r="AJ46" s="337">
        <v>0.02</v>
      </c>
      <c r="AK46" s="337">
        <v>0.11700000000000001</v>
      </c>
      <c r="AL46" s="338">
        <v>8.977272727272731E-2</v>
      </c>
      <c r="AM46" s="336">
        <v>7.0769230769230793E-2</v>
      </c>
      <c r="AN46" s="337">
        <v>8.7500000000000008E-2</v>
      </c>
      <c r="AO46" s="337">
        <f t="shared" si="2"/>
        <v>0.31460825685567573</v>
      </c>
      <c r="AP46" s="337"/>
      <c r="AQ46" s="337"/>
      <c r="AR46" s="336">
        <f t="shared" si="3"/>
        <v>0.10137860212823339</v>
      </c>
      <c r="AS46" s="336">
        <v>0.03</v>
      </c>
      <c r="AV46" s="317"/>
      <c r="AW46" s="317"/>
      <c r="AX46" s="317"/>
      <c r="AY46" s="317"/>
      <c r="AZ46" s="317"/>
      <c r="BA46" s="317"/>
      <c r="BB46" s="317"/>
      <c r="BC46" s="317"/>
      <c r="BD46" s="317"/>
      <c r="BE46" s="317"/>
      <c r="BF46" s="317"/>
      <c r="BG46" s="317"/>
      <c r="BH46" s="317"/>
      <c r="BI46" s="317"/>
      <c r="BJ46" s="317"/>
      <c r="BK46" s="317"/>
    </row>
    <row r="47" spans="1:63" ht="12.75" customHeight="1">
      <c r="A47" s="325"/>
      <c r="B47" s="335"/>
      <c r="C47" s="335"/>
      <c r="D47" s="335"/>
      <c r="E47" s="335"/>
      <c r="F47" s="335"/>
      <c r="G47" s="335"/>
      <c r="H47" s="335"/>
      <c r="I47" s="335"/>
      <c r="J47" s="335"/>
      <c r="K47" s="335"/>
      <c r="L47" s="335"/>
      <c r="M47" s="335"/>
      <c r="N47" s="335"/>
      <c r="O47" s="335"/>
      <c r="P47" s="335"/>
      <c r="Q47" s="335"/>
      <c r="R47" s="335"/>
      <c r="S47" s="334"/>
      <c r="T47" s="334"/>
      <c r="U47" s="334"/>
      <c r="V47" s="333"/>
      <c r="AB47" s="315" t="s">
        <v>98</v>
      </c>
      <c r="AC47" s="314"/>
      <c r="AD47" s="313"/>
      <c r="AE47" s="337">
        <v>4.9000000000000002E-2</v>
      </c>
      <c r="AF47" s="337"/>
      <c r="AG47" s="337"/>
      <c r="AH47" s="337"/>
      <c r="AI47" s="337">
        <v>0.13200000000000001</v>
      </c>
      <c r="AJ47" s="337">
        <v>4.4999999999999998E-2</v>
      </c>
      <c r="AK47" s="337">
        <v>0</v>
      </c>
      <c r="AL47" s="338">
        <v>0</v>
      </c>
      <c r="AM47" s="336">
        <v>0</v>
      </c>
      <c r="AN47" s="337">
        <v>0</v>
      </c>
      <c r="AO47" s="337">
        <f t="shared" si="2"/>
        <v>0</v>
      </c>
      <c r="AP47" s="337"/>
      <c r="AQ47" s="337"/>
      <c r="AR47" s="336">
        <f t="shared" si="3"/>
        <v>8.8499999999999995E-2</v>
      </c>
      <c r="AS47" s="336">
        <v>0.01</v>
      </c>
      <c r="AV47" s="317"/>
      <c r="AW47" s="317"/>
      <c r="AX47" s="317"/>
      <c r="AY47" s="317"/>
      <c r="AZ47" s="317"/>
      <c r="BA47" s="317"/>
      <c r="BB47" s="317"/>
      <c r="BC47" s="317"/>
      <c r="BD47" s="317"/>
      <c r="BE47" s="317"/>
      <c r="BF47" s="317"/>
      <c r="BG47" s="317"/>
      <c r="BH47" s="317"/>
      <c r="BI47" s="317"/>
      <c r="BJ47" s="317"/>
      <c r="BK47" s="317"/>
    </row>
    <row r="48" spans="1:63" ht="12.75" customHeight="1">
      <c r="A48" s="325"/>
      <c r="B48" s="335"/>
      <c r="C48" s="335"/>
      <c r="D48" s="335"/>
      <c r="E48" s="335"/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4"/>
      <c r="T48" s="334"/>
      <c r="U48" s="334"/>
      <c r="V48" s="333"/>
      <c r="AB48" s="315" t="s">
        <v>97</v>
      </c>
      <c r="AC48" s="314"/>
      <c r="AD48" s="313"/>
      <c r="AE48" s="332"/>
      <c r="AF48" s="330">
        <v>0</v>
      </c>
      <c r="AG48" s="330">
        <v>0</v>
      </c>
      <c r="AH48" s="330">
        <v>0</v>
      </c>
      <c r="AI48" s="330">
        <v>0.4</v>
      </c>
      <c r="AJ48" s="330">
        <v>0.45</v>
      </c>
      <c r="AK48" s="330">
        <v>0.55000000000000004</v>
      </c>
      <c r="AL48" s="330">
        <v>0.6</v>
      </c>
      <c r="AM48" s="331">
        <v>0.65</v>
      </c>
      <c r="AN48" s="330">
        <v>0.68</v>
      </c>
      <c r="AO48" s="330">
        <f>Proposal!AX3</f>
        <v>0.85</v>
      </c>
      <c r="AP48" s="330">
        <v>0.72</v>
      </c>
      <c r="AQ48" s="330">
        <v>0.74</v>
      </c>
      <c r="AR48" s="329"/>
      <c r="AS48" s="329"/>
      <c r="AV48" s="317"/>
      <c r="AW48" s="317"/>
      <c r="AX48" s="317"/>
      <c r="AY48" s="317"/>
      <c r="AZ48" s="317"/>
      <c r="BA48" s="317"/>
      <c r="BB48" s="317"/>
      <c r="BC48" s="317"/>
      <c r="BD48" s="317"/>
      <c r="BE48" s="317"/>
      <c r="BF48" s="317"/>
      <c r="BG48" s="317"/>
      <c r="BH48" s="317"/>
      <c r="BI48" s="317"/>
      <c r="BJ48" s="317"/>
      <c r="BK48" s="317"/>
    </row>
    <row r="49" spans="1:63" ht="12.75" customHeight="1">
      <c r="A49" s="3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3"/>
      <c r="AB49" s="328"/>
      <c r="AC49" s="328"/>
      <c r="AD49" s="328"/>
      <c r="AE49" s="328"/>
      <c r="AF49" s="328"/>
      <c r="AV49" s="317"/>
      <c r="AW49" s="317"/>
      <c r="AX49" s="317"/>
      <c r="AY49" s="317"/>
      <c r="AZ49" s="317"/>
      <c r="BA49" s="317"/>
      <c r="BB49" s="317"/>
      <c r="BC49" s="317"/>
      <c r="BD49" s="317"/>
      <c r="BE49" s="317"/>
      <c r="BF49" s="317"/>
      <c r="BG49" s="317"/>
      <c r="BH49" s="317"/>
      <c r="BI49" s="317"/>
      <c r="BJ49" s="317"/>
      <c r="BK49" s="317"/>
    </row>
    <row r="50" spans="1:63" ht="12.75" customHeight="1">
      <c r="A50" s="3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3"/>
      <c r="AB50" s="327" t="str">
        <f>A3</f>
        <v>L003</v>
      </c>
      <c r="AC50" s="327"/>
      <c r="AD50" s="327"/>
      <c r="AE50" s="327"/>
      <c r="AF50" s="327"/>
      <c r="AG50" s="327"/>
      <c r="AH50" s="327"/>
      <c r="AI50" s="327"/>
      <c r="AJ50" s="327"/>
      <c r="AK50" s="326"/>
      <c r="AV50" s="317"/>
      <c r="AW50" s="317"/>
      <c r="AX50" s="317"/>
      <c r="AY50" s="317"/>
      <c r="AZ50" s="317"/>
      <c r="BA50" s="317"/>
      <c r="BB50" s="317"/>
      <c r="BC50" s="317"/>
      <c r="BD50" s="317"/>
      <c r="BE50" s="317"/>
      <c r="BF50" s="317"/>
      <c r="BG50" s="317"/>
      <c r="BH50" s="317"/>
      <c r="BI50" s="317"/>
      <c r="BJ50" s="317"/>
      <c r="BK50" s="317"/>
    </row>
    <row r="51" spans="1:63" ht="15" thickBot="1">
      <c r="A51" s="3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3"/>
      <c r="AB51" s="322" t="s">
        <v>111</v>
      </c>
      <c r="AC51" s="321"/>
      <c r="AD51" s="320"/>
      <c r="AE51" s="319" t="s">
        <v>110</v>
      </c>
      <c r="AF51" s="319" t="s">
        <v>109</v>
      </c>
      <c r="AG51" s="319" t="s">
        <v>108</v>
      </c>
      <c r="AH51" s="319" t="s">
        <v>107</v>
      </c>
      <c r="AI51" s="319" t="s">
        <v>106</v>
      </c>
      <c r="AJ51" s="318" t="s">
        <v>13</v>
      </c>
      <c r="AV51" s="317"/>
      <c r="AW51" s="317"/>
      <c r="AX51" s="317"/>
      <c r="AY51" s="317"/>
      <c r="AZ51" s="317"/>
      <c r="BA51" s="317"/>
      <c r="BB51" s="317"/>
      <c r="BC51" s="317"/>
      <c r="BD51" s="317"/>
      <c r="BE51" s="317"/>
      <c r="BF51" s="317"/>
      <c r="BG51" s="317"/>
      <c r="BH51" s="317"/>
      <c r="BI51" s="317"/>
      <c r="BJ51" s="317"/>
      <c r="BK51" s="317"/>
    </row>
    <row r="52" spans="1:63" ht="12.75" customHeight="1" thickTop="1">
      <c r="A52" s="531" t="s">
        <v>104</v>
      </c>
      <c r="B52" s="532"/>
      <c r="C52" s="532"/>
      <c r="D52" s="532"/>
      <c r="E52" s="532"/>
      <c r="F52" s="532"/>
      <c r="G52" s="532"/>
      <c r="H52" s="532"/>
      <c r="I52" s="532"/>
      <c r="J52" s="532"/>
      <c r="K52" s="532"/>
      <c r="L52" s="532"/>
      <c r="M52" s="532"/>
      <c r="N52" s="532"/>
      <c r="O52" s="532"/>
      <c r="P52" s="532"/>
      <c r="Q52" s="532"/>
      <c r="R52" s="532"/>
      <c r="S52" s="532"/>
      <c r="T52" s="532"/>
      <c r="U52" s="532"/>
      <c r="V52" s="533"/>
      <c r="AB52" s="315" t="s">
        <v>103</v>
      </c>
      <c r="AC52" s="314"/>
      <c r="AD52" s="313"/>
      <c r="AE52" s="316">
        <f t="shared" ref="AE52:AE57" si="4">IFERROR(SUM(AE32:AL32)/COUNTIF(AE32:AL32,"&gt;0"),0)</f>
        <v>0</v>
      </c>
      <c r="AF52" s="316">
        <f t="shared" ref="AF52:AF57" si="5">IFERROR(SUM(AM32:AS32)/COUNTIF(AM32:AS32,"&gt;0"),0)</f>
        <v>0</v>
      </c>
      <c r="AG52" s="316">
        <f t="shared" ref="AG52:AG57" si="6">IFERROR(SUM(AT32:AZ32)/COUNTIF(AT32:AZ32,"&gt;0"),0)</f>
        <v>0</v>
      </c>
      <c r="AH52" s="316">
        <f t="shared" ref="AH52:AH57" si="7">IFERROR(SUM(BA32:BG32)/COUNTIF(BA32:BG32,"&gt;0"),0)</f>
        <v>0</v>
      </c>
      <c r="AI52" s="316">
        <f t="shared" ref="AI52:AI57" si="8">IFERROR(SUM(BH32:BI32)/COUNTIF(BH32:BI32,"&gt;0"),0)</f>
        <v>0.14678240740740742</v>
      </c>
      <c r="AJ52" s="310">
        <f t="shared" ref="AJ52:AJ58" si="9">IFERROR(SUM(AE52:AI52)/COUNTIF(AE52:AI52,"&gt;0"),0)</f>
        <v>0.14678240740740742</v>
      </c>
      <c r="AL52" s="317"/>
      <c r="AM52" s="317"/>
      <c r="AN52" s="317"/>
      <c r="AO52" s="317"/>
      <c r="AP52" s="317"/>
      <c r="AQ52" s="317"/>
      <c r="AR52" s="317"/>
      <c r="AS52" s="317"/>
      <c r="AT52" s="317"/>
      <c r="AU52" s="317"/>
      <c r="AV52" s="317"/>
      <c r="AW52" s="317"/>
      <c r="AX52" s="317"/>
      <c r="AY52" s="317"/>
      <c r="AZ52" s="317"/>
      <c r="BA52" s="317"/>
      <c r="BB52" s="317"/>
      <c r="BC52" s="317"/>
      <c r="BD52" s="317"/>
      <c r="BE52" s="317"/>
      <c r="BF52" s="317"/>
      <c r="BG52" s="317"/>
      <c r="BH52" s="317"/>
      <c r="BI52" s="317"/>
      <c r="BJ52" s="317"/>
      <c r="BK52" s="317"/>
    </row>
    <row r="53" spans="1:63" ht="12.75" customHeight="1">
      <c r="A53" s="534"/>
      <c r="B53" s="535"/>
      <c r="C53" s="535"/>
      <c r="D53" s="535"/>
      <c r="E53" s="535"/>
      <c r="F53" s="535"/>
      <c r="G53" s="535"/>
      <c r="H53" s="535"/>
      <c r="I53" s="535"/>
      <c r="J53" s="535"/>
      <c r="K53" s="535"/>
      <c r="L53" s="535"/>
      <c r="M53" s="535"/>
      <c r="N53" s="535"/>
      <c r="O53" s="535"/>
      <c r="P53" s="535"/>
      <c r="Q53" s="535"/>
      <c r="R53" s="535"/>
      <c r="S53" s="535"/>
      <c r="T53" s="535"/>
      <c r="U53" s="535"/>
      <c r="V53" s="536"/>
      <c r="AB53" s="315" t="s">
        <v>102</v>
      </c>
      <c r="AC53" s="314"/>
      <c r="AD53" s="313"/>
      <c r="AE53" s="316">
        <f t="shared" si="4"/>
        <v>0</v>
      </c>
      <c r="AF53" s="316">
        <f t="shared" si="5"/>
        <v>0</v>
      </c>
      <c r="AG53" s="316">
        <f t="shared" si="6"/>
        <v>0</v>
      </c>
      <c r="AH53" s="316">
        <f t="shared" si="7"/>
        <v>0</v>
      </c>
      <c r="AI53" s="316">
        <f t="shared" si="8"/>
        <v>7.5505981645362166E-3</v>
      </c>
      <c r="AJ53" s="310">
        <f t="shared" si="9"/>
        <v>7.5505981645362166E-3</v>
      </c>
      <c r="AL53" s="317"/>
      <c r="AM53" s="317"/>
      <c r="AN53" s="317"/>
      <c r="AO53" s="317"/>
      <c r="AP53" s="317"/>
      <c r="AQ53" s="317"/>
      <c r="AR53" s="317"/>
      <c r="AS53" s="317"/>
      <c r="AT53" s="317"/>
      <c r="AU53" s="317"/>
      <c r="AV53" s="317"/>
      <c r="AW53" s="317"/>
      <c r="AX53" s="317"/>
      <c r="AY53" s="317"/>
      <c r="AZ53" s="317"/>
      <c r="BA53" s="317"/>
      <c r="BB53" s="317"/>
      <c r="BC53" s="317"/>
      <c r="BD53" s="317"/>
      <c r="BE53" s="317"/>
      <c r="BF53" s="317"/>
      <c r="BG53" s="317"/>
      <c r="BH53" s="317"/>
      <c r="BI53" s="317"/>
      <c r="BJ53" s="317"/>
      <c r="BK53" s="317"/>
    </row>
    <row r="54" spans="1:63" ht="12.75" customHeight="1">
      <c r="A54" s="534"/>
      <c r="B54" s="535"/>
      <c r="C54" s="535"/>
      <c r="D54" s="535"/>
      <c r="E54" s="535"/>
      <c r="F54" s="535"/>
      <c r="G54" s="535"/>
      <c r="H54" s="535"/>
      <c r="I54" s="535"/>
      <c r="J54" s="535"/>
      <c r="K54" s="535"/>
      <c r="L54" s="535"/>
      <c r="M54" s="535"/>
      <c r="N54" s="535"/>
      <c r="O54" s="535"/>
      <c r="P54" s="535"/>
      <c r="Q54" s="535"/>
      <c r="R54" s="535"/>
      <c r="S54" s="535"/>
      <c r="T54" s="535"/>
      <c r="U54" s="535"/>
      <c r="V54" s="536"/>
      <c r="AB54" s="315" t="s">
        <v>101</v>
      </c>
      <c r="AC54" s="314"/>
      <c r="AD54" s="313"/>
      <c r="AE54" s="316">
        <f t="shared" si="4"/>
        <v>0</v>
      </c>
      <c r="AF54" s="316">
        <f t="shared" si="5"/>
        <v>0</v>
      </c>
      <c r="AG54" s="316">
        <f t="shared" si="6"/>
        <v>0</v>
      </c>
      <c r="AH54" s="316">
        <f t="shared" si="7"/>
        <v>0</v>
      </c>
      <c r="AI54" s="316">
        <f t="shared" si="8"/>
        <v>0.15101196329072433</v>
      </c>
      <c r="AJ54" s="310">
        <f t="shared" si="9"/>
        <v>0.15101196329072433</v>
      </c>
      <c r="BK54" s="317"/>
    </row>
    <row r="55" spans="1:63" ht="13.5" customHeight="1" thickBot="1">
      <c r="A55" s="537"/>
      <c r="B55" s="538"/>
      <c r="C55" s="538"/>
      <c r="D55" s="538"/>
      <c r="E55" s="538"/>
      <c r="F55" s="538"/>
      <c r="G55" s="538"/>
      <c r="H55" s="538"/>
      <c r="I55" s="538"/>
      <c r="J55" s="538"/>
      <c r="K55" s="538"/>
      <c r="L55" s="538"/>
      <c r="M55" s="538"/>
      <c r="N55" s="538"/>
      <c r="O55" s="538"/>
      <c r="P55" s="538"/>
      <c r="Q55" s="538"/>
      <c r="R55" s="538"/>
      <c r="S55" s="538"/>
      <c r="T55" s="538"/>
      <c r="U55" s="538"/>
      <c r="V55" s="539"/>
      <c r="AB55" s="315" t="s">
        <v>100</v>
      </c>
      <c r="AC55" s="314"/>
      <c r="AD55" s="313"/>
      <c r="AE55" s="316">
        <f t="shared" si="4"/>
        <v>0</v>
      </c>
      <c r="AF55" s="316">
        <f t="shared" si="5"/>
        <v>0</v>
      </c>
      <c r="AG55" s="316">
        <f t="shared" si="6"/>
        <v>0</v>
      </c>
      <c r="AH55" s="316">
        <f t="shared" si="7"/>
        <v>0</v>
      </c>
      <c r="AI55" s="316">
        <f t="shared" si="8"/>
        <v>0.38004677428165623</v>
      </c>
      <c r="AJ55" s="310">
        <f t="shared" si="9"/>
        <v>0.38004677428165623</v>
      </c>
      <c r="BK55" s="317"/>
    </row>
    <row r="56" spans="1:63" ht="13.5" customHeight="1" thickTop="1">
      <c r="A56" s="309"/>
      <c r="B56" s="309"/>
      <c r="C56" s="309"/>
      <c r="D56" s="309"/>
      <c r="E56" s="309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09"/>
      <c r="V56" s="309"/>
      <c r="AB56" s="315" t="s">
        <v>99</v>
      </c>
      <c r="AC56" s="314"/>
      <c r="AD56" s="313"/>
      <c r="AE56" s="316">
        <f t="shared" si="4"/>
        <v>0</v>
      </c>
      <c r="AF56" s="316">
        <f t="shared" si="5"/>
        <v>0</v>
      </c>
      <c r="AG56" s="316">
        <f t="shared" si="6"/>
        <v>0</v>
      </c>
      <c r="AH56" s="316">
        <f t="shared" si="7"/>
        <v>0</v>
      </c>
      <c r="AI56" s="316">
        <f t="shared" si="8"/>
        <v>0.31460825685567573</v>
      </c>
      <c r="AJ56" s="310">
        <f t="shared" si="9"/>
        <v>0.31460825685567573</v>
      </c>
    </row>
    <row r="57" spans="1:63" ht="13.5" customHeight="1">
      <c r="A57" s="309"/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  <c r="AB57" s="315" t="s">
        <v>98</v>
      </c>
      <c r="AC57" s="314"/>
      <c r="AD57" s="313"/>
      <c r="AE57" s="316">
        <f t="shared" si="4"/>
        <v>0</v>
      </c>
      <c r="AF57" s="316">
        <f t="shared" si="5"/>
        <v>0</v>
      </c>
      <c r="AG57" s="316">
        <f t="shared" si="6"/>
        <v>0</v>
      </c>
      <c r="AH57" s="316">
        <f t="shared" si="7"/>
        <v>0</v>
      </c>
      <c r="AI57" s="316">
        <f t="shared" si="8"/>
        <v>0</v>
      </c>
      <c r="AJ57" s="310">
        <f t="shared" si="9"/>
        <v>0</v>
      </c>
    </row>
    <row r="58" spans="1:63" ht="13.5" customHeight="1">
      <c r="A58" s="309"/>
      <c r="B58" s="309"/>
      <c r="C58" s="309"/>
      <c r="D58" s="309"/>
      <c r="E58" s="309"/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09"/>
      <c r="S58" s="309"/>
      <c r="T58" s="309"/>
      <c r="U58" s="309"/>
      <c r="V58" s="309"/>
      <c r="AB58" s="315" t="s">
        <v>97</v>
      </c>
      <c r="AC58" s="314"/>
      <c r="AD58" s="313"/>
      <c r="AE58" s="312">
        <f>AO48</f>
        <v>0.85</v>
      </c>
      <c r="AF58" s="311">
        <f>AE58</f>
        <v>0.85</v>
      </c>
      <c r="AG58" s="311">
        <f>AF58</f>
        <v>0.85</v>
      </c>
      <c r="AH58" s="311">
        <f>AG58</f>
        <v>0.85</v>
      </c>
      <c r="AI58" s="311">
        <f>AH58</f>
        <v>0.85</v>
      </c>
      <c r="AJ58" s="310">
        <f t="shared" si="9"/>
        <v>0.85</v>
      </c>
    </row>
    <row r="59" spans="1:63" ht="13.5" customHeight="1">
      <c r="A59" s="309"/>
      <c r="B59" s="309"/>
      <c r="C59" s="309"/>
      <c r="D59" s="309"/>
      <c r="E59" s="309"/>
      <c r="F59" s="309"/>
      <c r="G59" s="309"/>
      <c r="H59" s="309"/>
      <c r="I59" s="309"/>
      <c r="J59" s="309"/>
      <c r="K59" s="309"/>
      <c r="L59" s="309"/>
      <c r="M59" s="309"/>
      <c r="N59" s="309"/>
      <c r="O59" s="309"/>
      <c r="P59" s="309"/>
      <c r="Q59" s="309"/>
      <c r="R59" s="309"/>
      <c r="S59" s="309"/>
      <c r="T59" s="309"/>
      <c r="U59" s="309"/>
      <c r="V59" s="309"/>
    </row>
    <row r="60" spans="1:63" ht="13.5" customHeight="1">
      <c r="A60" s="309"/>
      <c r="B60" s="309"/>
      <c r="C60" s="309"/>
      <c r="D60" s="309"/>
      <c r="E60" s="309"/>
      <c r="F60" s="309"/>
      <c r="G60" s="309"/>
      <c r="H60" s="309"/>
      <c r="I60" s="309"/>
      <c r="J60" s="309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09"/>
      <c r="V60" s="309"/>
    </row>
    <row r="61" spans="1:63" ht="13.5" customHeight="1">
      <c r="A61" s="309"/>
      <c r="B61" s="309"/>
      <c r="C61" s="309"/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</row>
    <row r="62" spans="1:63" ht="13.5" customHeight="1">
      <c r="A62" s="309"/>
      <c r="B62" s="309"/>
      <c r="C62" s="309"/>
      <c r="D62" s="309"/>
      <c r="E62" s="309"/>
      <c r="F62" s="309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</row>
    <row r="63" spans="1:63" ht="13.5" customHeight="1">
      <c r="A63" s="309"/>
      <c r="B63" s="309"/>
      <c r="C63" s="309"/>
      <c r="D63" s="309"/>
      <c r="E63" s="309"/>
      <c r="F63" s="309"/>
      <c r="G63" s="309"/>
      <c r="H63" s="309"/>
      <c r="I63" s="309"/>
      <c r="J63" s="309"/>
      <c r="K63" s="309"/>
      <c r="L63" s="309"/>
      <c r="M63" s="309"/>
      <c r="N63" s="309"/>
      <c r="O63" s="309"/>
      <c r="P63" s="309"/>
      <c r="Q63" s="309"/>
      <c r="R63" s="309"/>
      <c r="S63" s="309"/>
      <c r="T63" s="309"/>
      <c r="U63" s="309"/>
      <c r="V63" s="309"/>
    </row>
    <row r="64" spans="1:63" ht="13.5" customHeight="1">
      <c r="A64" s="309"/>
      <c r="B64" s="309"/>
      <c r="C64" s="309"/>
      <c r="D64" s="309"/>
      <c r="E64" s="309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09"/>
      <c r="V64" s="309"/>
    </row>
    <row r="65" spans="1:22" ht="13.5" customHeight="1">
      <c r="A65" s="309"/>
      <c r="B65" s="309"/>
      <c r="C65" s="309"/>
      <c r="D65" s="309"/>
      <c r="E65" s="309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09"/>
      <c r="V65" s="309"/>
    </row>
    <row r="66" spans="1:22" ht="13.5" customHeight="1">
      <c r="A66" s="309"/>
      <c r="B66" s="309"/>
      <c r="C66" s="309"/>
      <c r="D66" s="309"/>
      <c r="E66" s="309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09"/>
      <c r="U66" s="309"/>
      <c r="V66" s="309"/>
    </row>
    <row r="67" spans="1:22" ht="13.5" customHeight="1">
      <c r="A67" s="309"/>
      <c r="B67" s="309"/>
      <c r="C67" s="309"/>
      <c r="D67" s="309"/>
      <c r="E67" s="309"/>
      <c r="F67" s="309"/>
      <c r="G67" s="309"/>
      <c r="H67" s="309"/>
      <c r="I67" s="309"/>
      <c r="J67" s="309"/>
      <c r="K67" s="309"/>
      <c r="L67" s="309"/>
      <c r="M67" s="309"/>
      <c r="N67" s="309"/>
      <c r="O67" s="309"/>
      <c r="P67" s="309"/>
      <c r="Q67" s="309"/>
      <c r="R67" s="309"/>
      <c r="S67" s="309"/>
      <c r="T67" s="309"/>
      <c r="U67" s="309"/>
      <c r="V67" s="309"/>
    </row>
    <row r="68" spans="1:22" ht="13.5" customHeight="1">
      <c r="A68" s="309"/>
      <c r="B68" s="309"/>
      <c r="C68" s="309"/>
      <c r="D68" s="309"/>
      <c r="E68" s="309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</row>
    <row r="69" spans="1:22" ht="13.5" customHeight="1">
      <c r="A69" s="309"/>
      <c r="B69" s="309"/>
      <c r="C69" s="309"/>
      <c r="D69" s="309"/>
      <c r="E69" s="309"/>
      <c r="F69" s="309"/>
      <c r="G69" s="309"/>
      <c r="H69" s="309"/>
      <c r="I69" s="309"/>
      <c r="J69" s="309"/>
      <c r="K69" s="309"/>
      <c r="L69" s="309"/>
      <c r="M69" s="309"/>
      <c r="N69" s="309"/>
      <c r="O69" s="309"/>
      <c r="P69" s="309"/>
      <c r="Q69" s="309"/>
      <c r="R69" s="309"/>
      <c r="S69" s="309"/>
      <c r="T69" s="309"/>
      <c r="U69" s="309"/>
      <c r="V69" s="309"/>
    </row>
    <row r="70" spans="1:22" ht="13.5" customHeight="1">
      <c r="A70" s="309"/>
      <c r="B70" s="309"/>
      <c r="C70" s="309"/>
      <c r="D70" s="309"/>
      <c r="E70" s="309"/>
      <c r="F70" s="309"/>
      <c r="G70" s="309"/>
      <c r="H70" s="309"/>
      <c r="I70" s="309"/>
      <c r="J70" s="309"/>
      <c r="K70" s="309"/>
      <c r="L70" s="309"/>
      <c r="M70" s="309"/>
      <c r="N70" s="309"/>
      <c r="O70" s="309"/>
      <c r="P70" s="309"/>
      <c r="Q70" s="309"/>
      <c r="R70" s="309"/>
      <c r="S70" s="309"/>
      <c r="T70" s="309"/>
      <c r="U70" s="309"/>
      <c r="V70" s="309"/>
    </row>
    <row r="71" spans="1:22" ht="13.5" customHeight="1">
      <c r="A71" s="309"/>
      <c r="B71" s="309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</row>
    <row r="72" spans="1:22" ht="13.5" customHeight="1">
      <c r="A72" s="309"/>
      <c r="B72" s="309"/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</row>
    <row r="73" spans="1:22" ht="13.5" customHeight="1">
      <c r="A73" s="309"/>
      <c r="B73" s="309"/>
      <c r="C73" s="309"/>
      <c r="D73" s="309"/>
      <c r="E73" s="309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09"/>
      <c r="V73" s="309"/>
    </row>
    <row r="74" spans="1:22" ht="13.5" customHeight="1">
      <c r="A74" s="309"/>
      <c r="B74" s="309"/>
      <c r="C74" s="309"/>
      <c r="D74" s="309"/>
      <c r="E74" s="309"/>
      <c r="F74" s="309"/>
      <c r="G74" s="309"/>
      <c r="H74" s="309"/>
      <c r="I74" s="309"/>
      <c r="J74" s="309"/>
      <c r="K74" s="309"/>
      <c r="L74" s="309"/>
      <c r="M74" s="309"/>
      <c r="N74" s="309"/>
      <c r="O74" s="309"/>
      <c r="P74" s="309"/>
      <c r="Q74" s="309"/>
      <c r="R74" s="309"/>
      <c r="S74" s="309"/>
      <c r="T74" s="309"/>
      <c r="U74" s="309"/>
      <c r="V74" s="309"/>
    </row>
    <row r="75" spans="1:22" ht="13.5" customHeight="1">
      <c r="A75" s="309"/>
      <c r="B75" s="309"/>
      <c r="C75" s="309"/>
      <c r="D75" s="309"/>
      <c r="E75" s="309"/>
      <c r="F75" s="309"/>
      <c r="G75" s="309"/>
      <c r="H75" s="309"/>
      <c r="I75" s="309"/>
      <c r="J75" s="309"/>
      <c r="K75" s="309"/>
      <c r="L75" s="309"/>
      <c r="M75" s="309"/>
      <c r="N75" s="309"/>
      <c r="O75" s="309"/>
      <c r="P75" s="309"/>
      <c r="Q75" s="309"/>
      <c r="R75" s="309"/>
      <c r="S75" s="309"/>
      <c r="T75" s="309"/>
      <c r="U75" s="309"/>
      <c r="V75" s="309"/>
    </row>
    <row r="76" spans="1:22" ht="13.5" customHeight="1">
      <c r="A76" s="309"/>
      <c r="B76" s="309"/>
      <c r="C76" s="309"/>
      <c r="D76" s="309"/>
      <c r="E76" s="309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09"/>
      <c r="U76" s="309"/>
      <c r="V76" s="309"/>
    </row>
    <row r="77" spans="1:22" ht="13.5" customHeight="1">
      <c r="A77" s="309"/>
      <c r="B77" s="309"/>
      <c r="C77" s="309"/>
      <c r="D77" s="309"/>
      <c r="E77" s="309"/>
      <c r="F77" s="309"/>
      <c r="G77" s="309"/>
      <c r="H77" s="309"/>
      <c r="I77" s="309"/>
      <c r="J77" s="309"/>
      <c r="K77" s="309"/>
      <c r="L77" s="309"/>
      <c r="M77" s="309"/>
      <c r="N77" s="309"/>
      <c r="O77" s="309"/>
      <c r="P77" s="309"/>
      <c r="Q77" s="309"/>
      <c r="R77" s="309"/>
      <c r="S77" s="309"/>
      <c r="T77" s="309"/>
      <c r="U77" s="309"/>
      <c r="V77" s="309"/>
    </row>
    <row r="78" spans="1:22" ht="13.5" customHeight="1">
      <c r="A78" s="309"/>
      <c r="B78" s="309"/>
      <c r="C78" s="309"/>
      <c r="D78" s="309"/>
      <c r="E78" s="309"/>
      <c r="F78" s="309"/>
      <c r="G78" s="309"/>
      <c r="H78" s="309"/>
      <c r="I78" s="309"/>
      <c r="J78" s="309"/>
      <c r="K78" s="309"/>
      <c r="L78" s="309"/>
      <c r="M78" s="309"/>
      <c r="N78" s="309"/>
      <c r="O78" s="309"/>
      <c r="P78" s="309"/>
      <c r="Q78" s="309"/>
      <c r="R78" s="309"/>
      <c r="S78" s="309"/>
      <c r="T78" s="309"/>
      <c r="U78" s="309"/>
      <c r="V78" s="309"/>
    </row>
    <row r="79" spans="1:22" ht="13.5" customHeight="1">
      <c r="A79" s="309"/>
      <c r="B79" s="309"/>
      <c r="C79" s="309"/>
      <c r="D79" s="309"/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09"/>
      <c r="P79" s="309"/>
      <c r="Q79" s="309"/>
      <c r="R79" s="309"/>
      <c r="S79" s="309"/>
      <c r="T79" s="309"/>
      <c r="U79" s="309"/>
      <c r="V79" s="309"/>
    </row>
    <row r="80" spans="1:22" ht="13.5" customHeight="1">
      <c r="A80" s="309"/>
      <c r="B80" s="309"/>
      <c r="C80" s="309"/>
      <c r="D80" s="309"/>
      <c r="E80" s="309"/>
      <c r="F80" s="309"/>
      <c r="G80" s="309"/>
      <c r="H80" s="309"/>
      <c r="I80" s="309"/>
      <c r="J80" s="309"/>
      <c r="K80" s="309"/>
      <c r="L80" s="309"/>
      <c r="M80" s="309"/>
      <c r="N80" s="309"/>
      <c r="O80" s="309"/>
      <c r="P80" s="309"/>
      <c r="Q80" s="309"/>
      <c r="R80" s="309"/>
      <c r="S80" s="309"/>
      <c r="T80" s="309"/>
      <c r="U80" s="309"/>
      <c r="V80" s="309"/>
    </row>
    <row r="81" spans="1:22" ht="13.5" customHeight="1">
      <c r="A81" s="309"/>
      <c r="B81" s="309"/>
      <c r="C81" s="309"/>
      <c r="D81" s="309"/>
      <c r="E81" s="309"/>
      <c r="F81" s="309"/>
      <c r="G81" s="309"/>
      <c r="H81" s="309"/>
      <c r="I81" s="309"/>
      <c r="J81" s="309"/>
      <c r="K81" s="309"/>
      <c r="L81" s="309"/>
      <c r="M81" s="309"/>
      <c r="N81" s="309"/>
      <c r="O81" s="309"/>
      <c r="P81" s="309"/>
      <c r="Q81" s="309"/>
      <c r="R81" s="309"/>
      <c r="S81" s="309"/>
      <c r="T81" s="309"/>
      <c r="U81" s="309"/>
      <c r="V81" s="309"/>
    </row>
    <row r="82" spans="1:22" ht="13.5" customHeight="1">
      <c r="A82" s="309"/>
      <c r="B82" s="309"/>
      <c r="C82" s="309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09"/>
      <c r="V82" s="309"/>
    </row>
    <row r="83" spans="1:22" ht="13.5" customHeight="1">
      <c r="A83" s="309"/>
      <c r="B83" s="309"/>
      <c r="C83" s="309"/>
      <c r="D83" s="309"/>
      <c r="E83" s="309"/>
      <c r="F83" s="309"/>
      <c r="G83" s="309"/>
      <c r="H83" s="309"/>
      <c r="I83" s="309"/>
      <c r="J83" s="309"/>
      <c r="K83" s="309"/>
      <c r="L83" s="309"/>
      <c r="M83" s="309"/>
      <c r="N83" s="309"/>
      <c r="O83" s="309"/>
      <c r="P83" s="309"/>
      <c r="Q83" s="309"/>
      <c r="R83" s="309"/>
      <c r="S83" s="309"/>
      <c r="T83" s="309"/>
      <c r="U83" s="309"/>
      <c r="V83" s="309"/>
    </row>
    <row r="84" spans="1:22" ht="13.5" customHeight="1">
      <c r="A84" s="309"/>
      <c r="B84" s="309"/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</row>
    <row r="85" spans="1:22" ht="13.5" customHeight="1">
      <c r="A85" s="309"/>
      <c r="B85" s="309"/>
      <c r="C85" s="309"/>
      <c r="D85" s="309"/>
      <c r="E85" s="309"/>
      <c r="F85" s="309"/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09"/>
      <c r="R85" s="309"/>
      <c r="S85" s="309"/>
      <c r="T85" s="309"/>
      <c r="U85" s="309"/>
      <c r="V85" s="309"/>
    </row>
    <row r="86" spans="1:22" ht="13.5" customHeight="1">
      <c r="A86" s="309"/>
      <c r="B86" s="309"/>
      <c r="C86" s="309"/>
      <c r="D86" s="309"/>
      <c r="E86" s="309"/>
      <c r="F86" s="309"/>
      <c r="G86" s="309"/>
      <c r="H86" s="309"/>
      <c r="I86" s="309"/>
      <c r="J86" s="309"/>
      <c r="K86" s="309"/>
      <c r="L86" s="309"/>
      <c r="M86" s="309"/>
      <c r="N86" s="309"/>
      <c r="O86" s="309"/>
      <c r="P86" s="309"/>
      <c r="Q86" s="309"/>
      <c r="R86" s="309"/>
      <c r="S86" s="309"/>
      <c r="T86" s="309"/>
      <c r="U86" s="309"/>
      <c r="V86" s="309"/>
    </row>
    <row r="87" spans="1:22" ht="13.5" customHeight="1">
      <c r="A87" s="309"/>
      <c r="B87" s="309"/>
      <c r="C87" s="309"/>
      <c r="D87" s="309"/>
      <c r="E87" s="309"/>
      <c r="F87" s="309"/>
      <c r="G87" s="309"/>
      <c r="H87" s="309"/>
      <c r="I87" s="309"/>
      <c r="J87" s="309"/>
      <c r="K87" s="309"/>
      <c r="L87" s="309"/>
      <c r="M87" s="309"/>
      <c r="N87" s="309"/>
      <c r="O87" s="309"/>
      <c r="P87" s="309"/>
      <c r="Q87" s="309"/>
      <c r="R87" s="309"/>
      <c r="S87" s="309"/>
      <c r="T87" s="309"/>
      <c r="U87" s="309"/>
      <c r="V87" s="309"/>
    </row>
    <row r="88" spans="1:22" ht="13.5" customHeight="1">
      <c r="A88" s="309"/>
      <c r="B88" s="309"/>
      <c r="C88" s="309"/>
      <c r="D88" s="309"/>
      <c r="E88" s="309"/>
      <c r="F88" s="309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</row>
    <row r="89" spans="1:22" ht="13.5" customHeight="1">
      <c r="A89" s="309"/>
      <c r="B89" s="309"/>
      <c r="C89" s="309"/>
      <c r="D89" s="309"/>
      <c r="E89" s="309"/>
      <c r="F89" s="309"/>
      <c r="G89" s="309"/>
      <c r="H89" s="309"/>
      <c r="I89" s="309"/>
      <c r="J89" s="309"/>
      <c r="K89" s="309"/>
      <c r="L89" s="309"/>
      <c r="M89" s="309"/>
      <c r="N89" s="309"/>
      <c r="O89" s="309"/>
      <c r="P89" s="309"/>
      <c r="Q89" s="309"/>
      <c r="R89" s="309"/>
      <c r="S89" s="309"/>
      <c r="T89" s="309"/>
      <c r="U89" s="309"/>
      <c r="V89" s="309"/>
    </row>
    <row r="90" spans="1:22" ht="13.5" customHeight="1">
      <c r="A90" s="309"/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</row>
    <row r="91" spans="1:22" ht="13.5" customHeight="1">
      <c r="A91" s="309"/>
      <c r="B91" s="309"/>
      <c r="C91" s="309"/>
      <c r="D91" s="309"/>
      <c r="E91" s="309"/>
      <c r="F91" s="309"/>
      <c r="G91" s="309"/>
      <c r="H91" s="309"/>
      <c r="I91" s="309"/>
      <c r="J91" s="309"/>
      <c r="K91" s="309"/>
      <c r="L91" s="309"/>
      <c r="M91" s="309"/>
      <c r="N91" s="309"/>
      <c r="O91" s="309"/>
      <c r="P91" s="309"/>
      <c r="Q91" s="309"/>
      <c r="R91" s="309"/>
      <c r="S91" s="309"/>
      <c r="T91" s="309"/>
      <c r="U91" s="309"/>
      <c r="V91" s="309"/>
    </row>
    <row r="92" spans="1:22" ht="13.5" customHeight="1">
      <c r="A92" s="309"/>
      <c r="B92" s="309"/>
      <c r="C92" s="309"/>
      <c r="D92" s="309"/>
      <c r="E92" s="309"/>
      <c r="F92" s="309"/>
      <c r="G92" s="309"/>
      <c r="H92" s="309"/>
      <c r="I92" s="309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09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8"/>
    </row>
  </sheetData>
  <mergeCells count="44">
    <mergeCell ref="A52:V55"/>
    <mergeCell ref="B6:B12"/>
    <mergeCell ref="J6:J12"/>
    <mergeCell ref="L6:M12"/>
    <mergeCell ref="AS25:AZ25"/>
    <mergeCell ref="AB20:AB22"/>
    <mergeCell ref="AC10:AJ10"/>
    <mergeCell ref="AK25:AR25"/>
    <mergeCell ref="AK20:AR20"/>
    <mergeCell ref="AC25:AJ25"/>
    <mergeCell ref="AC20:AJ20"/>
    <mergeCell ref="AC15:AJ15"/>
    <mergeCell ref="AK15:AR15"/>
    <mergeCell ref="BI20:BP20"/>
    <mergeCell ref="BI15:BP15"/>
    <mergeCell ref="BI10:BP10"/>
    <mergeCell ref="AB5:AB7"/>
    <mergeCell ref="AB25:AB27"/>
    <mergeCell ref="AK5:AR5"/>
    <mergeCell ref="BA25:BH25"/>
    <mergeCell ref="BA20:BH20"/>
    <mergeCell ref="AC5:AJ5"/>
    <mergeCell ref="CG25:CN25"/>
    <mergeCell ref="A1:O2"/>
    <mergeCell ref="P1:R4"/>
    <mergeCell ref="S1:V4"/>
    <mergeCell ref="A3:O4"/>
    <mergeCell ref="BA15:BH15"/>
    <mergeCell ref="BA10:BH10"/>
    <mergeCell ref="AS20:AZ20"/>
    <mergeCell ref="AS15:AZ15"/>
    <mergeCell ref="AS10:AZ10"/>
    <mergeCell ref="AK10:AR10"/>
    <mergeCell ref="AB10:AB12"/>
    <mergeCell ref="AB15:AB17"/>
    <mergeCell ref="BI25:BP25"/>
    <mergeCell ref="BY10:CF10"/>
    <mergeCell ref="BY15:CF15"/>
    <mergeCell ref="BQ10:BX10"/>
    <mergeCell ref="BY20:CF20"/>
    <mergeCell ref="BY25:CF25"/>
    <mergeCell ref="BQ25:BX25"/>
    <mergeCell ref="BQ20:BX20"/>
    <mergeCell ref="BQ15:BX1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Standard</vt:lpstr>
      <vt:lpstr>hourlyExcel</vt:lpstr>
      <vt:lpstr>hourlyJava</vt:lpstr>
      <vt:lpstr>Proposal</vt:lpstr>
      <vt:lpstr>OEE con Factores de Pérdida 100</vt:lpstr>
      <vt:lpstr>Proposal!Print_Area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2017-11-06T05:39:48Z</dcterms:modified>
</cp:coreProperties>
</file>
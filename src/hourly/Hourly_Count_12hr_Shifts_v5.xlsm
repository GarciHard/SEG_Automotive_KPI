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4" activeTab="4"/>
  </bookViews>
  <sheets>
    <sheet name="Standard" sheetId="1" state="hidden" r:id="rId1"/>
    <sheet name="hourlyExcel" sheetId="8" state="hidden" r:id="rId2"/>
    <sheet name="hourlyJava" sheetId="4" state="hidden" r:id="rId3"/>
    <sheet name="Proposal" sheetId="2" state="hidden" r:id="rId4"/>
    <sheet name="Proposal (2)" sheetId="9" r:id="rId5"/>
    <sheet name="Proposal (3)" sheetId="10" state="hidden" r:id="rId6"/>
    <sheet name="OEE" sheetId="5" r:id="rId7"/>
  </sheets>
  <definedNames>
    <definedName name="_xlnm._FilterDatabase" localSheetId="6" hidden="1">OEE!$A$1:$V$4</definedName>
    <definedName name="_xlnm.Print_Area" localSheetId="3">Proposal!$A$1:$AZ$39</definedName>
    <definedName name="_xlnm.Print_Area" localSheetId="4">'Proposal (2)'!$A$1:$AZ$40</definedName>
    <definedName name="_xlnm.Print_Area" localSheetId="5">'Proposal (3)'!$A$1:$AZ$41</definedName>
    <definedName name="_xlnm.Print_Area" localSheetId="0">Standard!$B$1:$AT$38</definedName>
    <definedName name="SystemKPI.od" localSheetId="1" hidden="1">hourlyExcel!$B$2:$I$70</definedName>
    <definedName name="SystemKPI_HourlyCount.od" localSheetId="2" hidden="1">hourlyJava!$B$2:$O$26</definedName>
  </definedNames>
  <calcPr calcId="162913"/>
  <pivotCaches>
    <pivotCache cacheId="186" r:id="rId8"/>
  </pivotCaches>
</workbook>
</file>

<file path=xl/calcChain.xml><?xml version="1.0" encoding="utf-8"?>
<calcChain xmlns="http://schemas.openxmlformats.org/spreadsheetml/2006/main">
  <c r="AM36" i="10" l="1"/>
  <c r="AM13" i="10"/>
  <c r="AM20" i="10"/>
  <c r="AM27" i="10"/>
  <c r="AM34" i="10"/>
  <c r="AV33" i="10"/>
  <c r="AU33" i="10"/>
  <c r="AT33" i="10"/>
  <c r="AR33" i="10"/>
  <c r="AQ33" i="10"/>
  <c r="AP33" i="10"/>
  <c r="AO33" i="10"/>
  <c r="AN33" i="10"/>
  <c r="AL33" i="10"/>
  <c r="AK33" i="10"/>
  <c r="H33" i="10"/>
  <c r="D33" i="10"/>
  <c r="BB33" i="10" s="1"/>
  <c r="AV32" i="10"/>
  <c r="AU32" i="10"/>
  <c r="AT32" i="10"/>
  <c r="AR32" i="10"/>
  <c r="AQ32" i="10"/>
  <c r="AP32" i="10"/>
  <c r="AO32" i="10"/>
  <c r="AN32" i="10"/>
  <c r="AL32" i="10"/>
  <c r="AK32" i="10"/>
  <c r="H32" i="10"/>
  <c r="D32" i="10"/>
  <c r="BB32" i="10" s="1"/>
  <c r="AV31" i="10"/>
  <c r="AU31" i="10"/>
  <c r="AT31" i="10"/>
  <c r="AR31" i="10"/>
  <c r="AQ31" i="10"/>
  <c r="AP31" i="10"/>
  <c r="AO31" i="10"/>
  <c r="AN31" i="10"/>
  <c r="AL31" i="10"/>
  <c r="AK31" i="10"/>
  <c r="H31" i="10"/>
  <c r="D31" i="10"/>
  <c r="BB31" i="10" s="1"/>
  <c r="AV30" i="10"/>
  <c r="AU30" i="10"/>
  <c r="AT30" i="10"/>
  <c r="AR30" i="10"/>
  <c r="AQ30" i="10"/>
  <c r="AP30" i="10"/>
  <c r="AO30" i="10"/>
  <c r="AN30" i="10"/>
  <c r="AL30" i="10"/>
  <c r="AK30" i="10"/>
  <c r="H30" i="10"/>
  <c r="D30" i="10"/>
  <c r="BB30" i="10" s="1"/>
  <c r="AV29" i="10"/>
  <c r="AU29" i="10"/>
  <c r="AT29" i="10"/>
  <c r="AR29" i="10"/>
  <c r="AQ29" i="10"/>
  <c r="AP29" i="10"/>
  <c r="AO29" i="10"/>
  <c r="AN29" i="10"/>
  <c r="AL29" i="10"/>
  <c r="AK29" i="10"/>
  <c r="H29" i="10"/>
  <c r="D29" i="10"/>
  <c r="BB29" i="10" s="1"/>
  <c r="AV28" i="10"/>
  <c r="AU28" i="10"/>
  <c r="AT28" i="10"/>
  <c r="AR28" i="10"/>
  <c r="AQ28" i="10"/>
  <c r="AP28" i="10"/>
  <c r="AO28" i="10"/>
  <c r="AN28" i="10"/>
  <c r="AL28" i="10"/>
  <c r="AK28" i="10"/>
  <c r="H28" i="10"/>
  <c r="D28" i="10"/>
  <c r="BB28" i="10" s="1"/>
  <c r="AV26" i="10"/>
  <c r="AU26" i="10"/>
  <c r="AT26" i="10"/>
  <c r="AR26" i="10"/>
  <c r="AQ26" i="10"/>
  <c r="AP26" i="10"/>
  <c r="AO26" i="10"/>
  <c r="AN26" i="10"/>
  <c r="AL26" i="10"/>
  <c r="AK26" i="10"/>
  <c r="H26" i="10"/>
  <c r="D26" i="10"/>
  <c r="AV25" i="10"/>
  <c r="AU25" i="10"/>
  <c r="AT25" i="10"/>
  <c r="AR25" i="10"/>
  <c r="AQ25" i="10"/>
  <c r="AP25" i="10"/>
  <c r="AO25" i="10"/>
  <c r="AN25" i="10"/>
  <c r="AL25" i="10"/>
  <c r="AK25" i="10"/>
  <c r="H25" i="10"/>
  <c r="D25" i="10"/>
  <c r="BB25" i="10" s="1"/>
  <c r="AV24" i="10"/>
  <c r="AU24" i="10"/>
  <c r="AT24" i="10"/>
  <c r="AR24" i="10"/>
  <c r="AQ24" i="10"/>
  <c r="AP24" i="10"/>
  <c r="AO24" i="10"/>
  <c r="AN24" i="10"/>
  <c r="AL24" i="10"/>
  <c r="AK24" i="10"/>
  <c r="H24" i="10"/>
  <c r="D24" i="10"/>
  <c r="BB24" i="10" s="1"/>
  <c r="AV23" i="10"/>
  <c r="AU23" i="10"/>
  <c r="AT23" i="10"/>
  <c r="AR23" i="10"/>
  <c r="AQ23" i="10"/>
  <c r="AP23" i="10"/>
  <c r="AO23" i="10"/>
  <c r="AN23" i="10"/>
  <c r="AL23" i="10"/>
  <c r="AK23" i="10"/>
  <c r="H23" i="10"/>
  <c r="D23" i="10"/>
  <c r="BB23" i="10" s="1"/>
  <c r="AV22" i="10"/>
  <c r="AU22" i="10"/>
  <c r="AT22" i="10"/>
  <c r="AR22" i="10"/>
  <c r="AQ22" i="10"/>
  <c r="AP22" i="10"/>
  <c r="AO22" i="10"/>
  <c r="AN22" i="10"/>
  <c r="AL22" i="10"/>
  <c r="AK22" i="10"/>
  <c r="H22" i="10"/>
  <c r="D22" i="10"/>
  <c r="BB22" i="10" s="1"/>
  <c r="AV21" i="10"/>
  <c r="AU21" i="10"/>
  <c r="AT21" i="10"/>
  <c r="AR21" i="10"/>
  <c r="AQ21" i="10"/>
  <c r="AQ27" i="10" s="1"/>
  <c r="AP21" i="10"/>
  <c r="AO21" i="10"/>
  <c r="AN21" i="10"/>
  <c r="AL21" i="10"/>
  <c r="AK21" i="10"/>
  <c r="H21" i="10"/>
  <c r="D21" i="10"/>
  <c r="E27" i="10" s="1"/>
  <c r="AV19" i="10"/>
  <c r="AU19" i="10"/>
  <c r="AT19" i="10"/>
  <c r="AR19" i="10"/>
  <c r="AQ19" i="10"/>
  <c r="AP19" i="10"/>
  <c r="AO19" i="10"/>
  <c r="AN19" i="10"/>
  <c r="AL19" i="10"/>
  <c r="AK19" i="10"/>
  <c r="H19" i="10"/>
  <c r="D19" i="10"/>
  <c r="BB19" i="10" s="1"/>
  <c r="AV18" i="10"/>
  <c r="AU18" i="10"/>
  <c r="AT18" i="10"/>
  <c r="AR18" i="10"/>
  <c r="AQ18" i="10"/>
  <c r="AP18" i="10"/>
  <c r="AO18" i="10"/>
  <c r="AN18" i="10"/>
  <c r="AL18" i="10"/>
  <c r="AK18" i="10"/>
  <c r="H18" i="10"/>
  <c r="D18" i="10"/>
  <c r="BB18" i="10" s="1"/>
  <c r="AV17" i="10"/>
  <c r="AU17" i="10"/>
  <c r="AT17" i="10"/>
  <c r="AR17" i="10"/>
  <c r="AQ17" i="10"/>
  <c r="AP17" i="10"/>
  <c r="AO17" i="10"/>
  <c r="AN17" i="10"/>
  <c r="AL17" i="10"/>
  <c r="AK17" i="10"/>
  <c r="H17" i="10"/>
  <c r="D17" i="10"/>
  <c r="AV16" i="10"/>
  <c r="AU16" i="10"/>
  <c r="AT16" i="10"/>
  <c r="AR16" i="10"/>
  <c r="AQ16" i="10"/>
  <c r="AP16" i="10"/>
  <c r="AO16" i="10"/>
  <c r="AN16" i="10"/>
  <c r="AL16" i="10"/>
  <c r="AK16" i="10"/>
  <c r="H16" i="10"/>
  <c r="D16" i="10"/>
  <c r="BB16" i="10" s="1"/>
  <c r="AV15" i="10"/>
  <c r="AU15" i="10"/>
  <c r="AT15" i="10"/>
  <c r="AR15" i="10"/>
  <c r="AQ15" i="10"/>
  <c r="AP15" i="10"/>
  <c r="AO15" i="10"/>
  <c r="AN15" i="10"/>
  <c r="AL15" i="10"/>
  <c r="AK15" i="10"/>
  <c r="H15" i="10"/>
  <c r="D15" i="10"/>
  <c r="BB15" i="10" s="1"/>
  <c r="AV14" i="10"/>
  <c r="AU14" i="10"/>
  <c r="AT14" i="10"/>
  <c r="AR14" i="10"/>
  <c r="AQ14" i="10"/>
  <c r="AP14" i="10"/>
  <c r="AO14" i="10"/>
  <c r="AN14" i="10"/>
  <c r="AN20" i="10" s="1"/>
  <c r="AL14" i="10"/>
  <c r="AK14" i="10"/>
  <c r="H14" i="10"/>
  <c r="D14" i="10"/>
  <c r="BB14" i="10" s="1"/>
  <c r="AV12" i="10"/>
  <c r="AU12" i="10"/>
  <c r="AT12" i="10"/>
  <c r="AR12" i="10"/>
  <c r="AQ12" i="10"/>
  <c r="AP12" i="10"/>
  <c r="AO12" i="10"/>
  <c r="AN12" i="10"/>
  <c r="AL12" i="10"/>
  <c r="AK12" i="10"/>
  <c r="H12" i="10"/>
  <c r="D12" i="10"/>
  <c r="BB12" i="10" s="1"/>
  <c r="AV11" i="10"/>
  <c r="AU11" i="10"/>
  <c r="AT11" i="10"/>
  <c r="AR11" i="10"/>
  <c r="AQ11" i="10"/>
  <c r="AP11" i="10"/>
  <c r="AO11" i="10"/>
  <c r="AN11" i="10"/>
  <c r="AL11" i="10"/>
  <c r="AK11" i="10"/>
  <c r="H11" i="10"/>
  <c r="D11" i="10"/>
  <c r="BB11" i="10" s="1"/>
  <c r="AV10" i="10"/>
  <c r="AU10" i="10"/>
  <c r="AT10" i="10"/>
  <c r="AR10" i="10"/>
  <c r="AQ10" i="10"/>
  <c r="AP10" i="10"/>
  <c r="AO10" i="10"/>
  <c r="AN10" i="10"/>
  <c r="AL10" i="10"/>
  <c r="AK10" i="10"/>
  <c r="H10" i="10"/>
  <c r="D10" i="10"/>
  <c r="BB10" i="10" s="1"/>
  <c r="AV9" i="10"/>
  <c r="AU9" i="10"/>
  <c r="AT9" i="10"/>
  <c r="AR9" i="10"/>
  <c r="AQ9" i="10"/>
  <c r="AP9" i="10"/>
  <c r="AO9" i="10"/>
  <c r="AN9" i="10"/>
  <c r="AL9" i="10"/>
  <c r="AK9" i="10"/>
  <c r="H9" i="10"/>
  <c r="D9" i="10"/>
  <c r="BB9" i="10" s="1"/>
  <c r="AV8" i="10"/>
  <c r="AU8" i="10"/>
  <c r="AT8" i="10"/>
  <c r="AR8" i="10"/>
  <c r="AQ8" i="10"/>
  <c r="AP8" i="10"/>
  <c r="AO8" i="10"/>
  <c r="AN8" i="10"/>
  <c r="AL8" i="10"/>
  <c r="AK8" i="10"/>
  <c r="H8" i="10"/>
  <c r="D8" i="10"/>
  <c r="BB8" i="10" s="1"/>
  <c r="AV7" i="10"/>
  <c r="AU7" i="10"/>
  <c r="AT7" i="10"/>
  <c r="AR7" i="10"/>
  <c r="AQ7" i="10"/>
  <c r="AP7" i="10"/>
  <c r="AO7" i="10"/>
  <c r="AN7" i="10"/>
  <c r="AN13" i="10" s="1"/>
  <c r="AL7" i="10"/>
  <c r="AK7" i="10"/>
  <c r="H7" i="10"/>
  <c r="I7" i="10" s="1"/>
  <c r="D7" i="10"/>
  <c r="E7" i="10" s="1"/>
  <c r="E8" i="10" s="1"/>
  <c r="E9" i="10" s="1"/>
  <c r="E10" i="10" s="1"/>
  <c r="E11" i="10" s="1"/>
  <c r="E12" i="10" s="1"/>
  <c r="AT3" i="10"/>
  <c r="F3" i="10"/>
  <c r="AN34" i="10" l="1"/>
  <c r="AP34" i="10"/>
  <c r="AQ20" i="10"/>
  <c r="AO34" i="10"/>
  <c r="AN27" i="10"/>
  <c r="AL34" i="10"/>
  <c r="AO13" i="10"/>
  <c r="AL13" i="10"/>
  <c r="AO27" i="10"/>
  <c r="AO20" i="10"/>
  <c r="H20" i="10"/>
  <c r="AQ34" i="10"/>
  <c r="AP20" i="10"/>
  <c r="AL20" i="10"/>
  <c r="H34" i="10"/>
  <c r="H27" i="10"/>
  <c r="AP13" i="10"/>
  <c r="AP27" i="10"/>
  <c r="AQ13" i="10"/>
  <c r="AL27" i="10"/>
  <c r="E34" i="10"/>
  <c r="E14" i="10"/>
  <c r="E15" i="10" s="1"/>
  <c r="E16" i="10" s="1"/>
  <c r="E20" i="10"/>
  <c r="E13" i="10"/>
  <c r="AN36" i="10"/>
  <c r="H36" i="10"/>
  <c r="H13" i="10"/>
  <c r="E17" i="10"/>
  <c r="E18" i="10" s="1"/>
  <c r="E19" i="10" s="1"/>
  <c r="F32" i="10"/>
  <c r="F26" i="10"/>
  <c r="F28" i="10"/>
  <c r="F9" i="10"/>
  <c r="F10" i="10"/>
  <c r="F14" i="10"/>
  <c r="F29" i="10"/>
  <c r="F30" i="10"/>
  <c r="F31" i="10"/>
  <c r="F11" i="10"/>
  <c r="F16" i="10"/>
  <c r="F33" i="10"/>
  <c r="F7" i="10"/>
  <c r="F12" i="10"/>
  <c r="F19" i="10"/>
  <c r="F22" i="10"/>
  <c r="F23" i="10"/>
  <c r="F24" i="10"/>
  <c r="F25" i="10"/>
  <c r="AX26" i="10"/>
  <c r="I8" i="10"/>
  <c r="AY8" i="10" s="1"/>
  <c r="F15" i="10"/>
  <c r="AX22" i="10"/>
  <c r="AX24" i="10"/>
  <c r="F8" i="10"/>
  <c r="BB21" i="10"/>
  <c r="E21" i="10"/>
  <c r="E22" i="10" s="1"/>
  <c r="E23" i="10" s="1"/>
  <c r="E24" i="10" s="1"/>
  <c r="E25" i="10" s="1"/>
  <c r="E26" i="10" s="1"/>
  <c r="E28" i="10" s="1"/>
  <c r="E29" i="10" s="1"/>
  <c r="E30" i="10" s="1"/>
  <c r="E31" i="10" s="1"/>
  <c r="E32" i="10" s="1"/>
  <c r="E33" i="10" s="1"/>
  <c r="F21" i="10"/>
  <c r="G21" i="10" s="1"/>
  <c r="BB17" i="10"/>
  <c r="F17" i="10"/>
  <c r="AX17" i="10"/>
  <c r="AX21" i="10"/>
  <c r="AY21" i="10" s="1"/>
  <c r="AX19" i="10"/>
  <c r="F18" i="10"/>
  <c r="AX18" i="10"/>
  <c r="BB7" i="10"/>
  <c r="BB26" i="10"/>
  <c r="AX23" i="10"/>
  <c r="AX7" i="10"/>
  <c r="AY7" i="10" s="1"/>
  <c r="BA7" i="10" s="1"/>
  <c r="AX10" i="10"/>
  <c r="AX12" i="10"/>
  <c r="AX14" i="10"/>
  <c r="AX15" i="10"/>
  <c r="AX16" i="10"/>
  <c r="AX28" i="10"/>
  <c r="AX29" i="10"/>
  <c r="AX30" i="10"/>
  <c r="AX31" i="10"/>
  <c r="AX32" i="10"/>
  <c r="AX33" i="10"/>
  <c r="AX25" i="10"/>
  <c r="AX8" i="10"/>
  <c r="AX9" i="10"/>
  <c r="AX11" i="10"/>
  <c r="AO36" i="10" l="1"/>
  <c r="AQ36" i="10"/>
  <c r="AL36" i="10"/>
  <c r="AP36" i="10"/>
  <c r="E36" i="10"/>
  <c r="G7" i="10"/>
  <c r="G8" i="10" s="1"/>
  <c r="G9" i="10" s="1"/>
  <c r="G10" i="10" s="1"/>
  <c r="G11" i="10" s="1"/>
  <c r="F36" i="10"/>
  <c r="I9" i="10"/>
  <c r="I10" i="10" s="1"/>
  <c r="I11" i="10" s="1"/>
  <c r="BA8" i="10"/>
  <c r="G22" i="10"/>
  <c r="G23" i="10" s="1"/>
  <c r="G24" i="10" s="1"/>
  <c r="G25" i="10" s="1"/>
  <c r="G26" i="10" s="1"/>
  <c r="G28" i="10" s="1"/>
  <c r="AM35" i="9"/>
  <c r="AM33" i="9"/>
  <c r="AM25" i="9"/>
  <c r="AM16" i="9"/>
  <c r="AV32" i="9"/>
  <c r="AU32" i="9"/>
  <c r="AT32" i="9"/>
  <c r="AR32" i="9"/>
  <c r="AQ32" i="9"/>
  <c r="AP32" i="9"/>
  <c r="AO32" i="9"/>
  <c r="AN32" i="9"/>
  <c r="AL32" i="9"/>
  <c r="AK32" i="9"/>
  <c r="H32" i="9"/>
  <c r="D32" i="9"/>
  <c r="BB32" i="9" s="1"/>
  <c r="AV31" i="9"/>
  <c r="AU31" i="9"/>
  <c r="AT31" i="9"/>
  <c r="AR31" i="9"/>
  <c r="AQ31" i="9"/>
  <c r="AP31" i="9"/>
  <c r="AO31" i="9"/>
  <c r="AN31" i="9"/>
  <c r="AL31" i="9"/>
  <c r="AK31" i="9"/>
  <c r="H31" i="9"/>
  <c r="D31" i="9"/>
  <c r="BB31" i="9" s="1"/>
  <c r="AV30" i="9"/>
  <c r="AU30" i="9"/>
  <c r="AT30" i="9"/>
  <c r="AR30" i="9"/>
  <c r="AQ30" i="9"/>
  <c r="AP30" i="9"/>
  <c r="AO30" i="9"/>
  <c r="AN30" i="9"/>
  <c r="AL30" i="9"/>
  <c r="AK30" i="9"/>
  <c r="H30" i="9"/>
  <c r="D30" i="9"/>
  <c r="BB30" i="9" s="1"/>
  <c r="AV29" i="9"/>
  <c r="AU29" i="9"/>
  <c r="AT29" i="9"/>
  <c r="AR29" i="9"/>
  <c r="AQ29" i="9"/>
  <c r="AP29" i="9"/>
  <c r="AO29" i="9"/>
  <c r="AN29" i="9"/>
  <c r="AL29" i="9"/>
  <c r="AK29" i="9"/>
  <c r="H29" i="9"/>
  <c r="D29" i="9"/>
  <c r="BB29" i="9" s="1"/>
  <c r="AV28" i="9"/>
  <c r="AU28" i="9"/>
  <c r="AT28" i="9"/>
  <c r="AR28" i="9"/>
  <c r="AQ28" i="9"/>
  <c r="AP28" i="9"/>
  <c r="AO28" i="9"/>
  <c r="AN28" i="9"/>
  <c r="AL28" i="9"/>
  <c r="AK28" i="9"/>
  <c r="H28" i="9"/>
  <c r="D28" i="9"/>
  <c r="BB28" i="9" s="1"/>
  <c r="AV27" i="9"/>
  <c r="AU27" i="9"/>
  <c r="AT27" i="9"/>
  <c r="AR27" i="9"/>
  <c r="AQ27" i="9"/>
  <c r="AP27" i="9"/>
  <c r="AO27" i="9"/>
  <c r="AN27" i="9"/>
  <c r="AL27" i="9"/>
  <c r="AK27" i="9"/>
  <c r="H27" i="9"/>
  <c r="D27" i="9"/>
  <c r="BB27" i="9" s="1"/>
  <c r="AV26" i="9"/>
  <c r="AU26" i="9"/>
  <c r="AT26" i="9"/>
  <c r="AR26" i="9"/>
  <c r="AQ26" i="9"/>
  <c r="AP26" i="9"/>
  <c r="AO26" i="9"/>
  <c r="AN26" i="9"/>
  <c r="AN33" i="9" s="1"/>
  <c r="AL26" i="9"/>
  <c r="AK26" i="9"/>
  <c r="H26" i="9"/>
  <c r="D26" i="9"/>
  <c r="AV24" i="9"/>
  <c r="AU24" i="9"/>
  <c r="AT24" i="9"/>
  <c r="AR24" i="9"/>
  <c r="AQ24" i="9"/>
  <c r="AP24" i="9"/>
  <c r="AO24" i="9"/>
  <c r="AN24" i="9"/>
  <c r="AL24" i="9"/>
  <c r="AK24" i="9"/>
  <c r="H24" i="9"/>
  <c r="D24" i="9"/>
  <c r="BB24" i="9" s="1"/>
  <c r="AV23" i="9"/>
  <c r="AU23" i="9"/>
  <c r="AT23" i="9"/>
  <c r="AR23" i="9"/>
  <c r="AQ23" i="9"/>
  <c r="AP23" i="9"/>
  <c r="AO23" i="9"/>
  <c r="AN23" i="9"/>
  <c r="AL23" i="9"/>
  <c r="AK23" i="9"/>
  <c r="H23" i="9"/>
  <c r="D23" i="9"/>
  <c r="BB23" i="9" s="1"/>
  <c r="AV22" i="9"/>
  <c r="AU22" i="9"/>
  <c r="AT22" i="9"/>
  <c r="AR22" i="9"/>
  <c r="AQ22" i="9"/>
  <c r="AP22" i="9"/>
  <c r="AO22" i="9"/>
  <c r="AN22" i="9"/>
  <c r="AL22" i="9"/>
  <c r="AK22" i="9"/>
  <c r="H22" i="9"/>
  <c r="D22" i="9"/>
  <c r="AV21" i="9"/>
  <c r="AU21" i="9"/>
  <c r="AT21" i="9"/>
  <c r="AR21" i="9"/>
  <c r="AQ21" i="9"/>
  <c r="AP21" i="9"/>
  <c r="AO21" i="9"/>
  <c r="AN21" i="9"/>
  <c r="AL21" i="9"/>
  <c r="AK21" i="9"/>
  <c r="H21" i="9"/>
  <c r="D21" i="9"/>
  <c r="BB21" i="9" s="1"/>
  <c r="AV20" i="9"/>
  <c r="AU20" i="9"/>
  <c r="AT20" i="9"/>
  <c r="AR20" i="9"/>
  <c r="AQ20" i="9"/>
  <c r="AP20" i="9"/>
  <c r="AO20" i="9"/>
  <c r="AN20" i="9"/>
  <c r="AL20" i="9"/>
  <c r="AK20" i="9"/>
  <c r="H20" i="9"/>
  <c r="D20" i="9"/>
  <c r="E20" i="9" s="1"/>
  <c r="AV19" i="9"/>
  <c r="AU19" i="9"/>
  <c r="AT19" i="9"/>
  <c r="AR19" i="9"/>
  <c r="AQ19" i="9"/>
  <c r="AP19" i="9"/>
  <c r="AO19" i="9"/>
  <c r="AN19" i="9"/>
  <c r="AL19" i="9"/>
  <c r="AK19" i="9"/>
  <c r="H19" i="9"/>
  <c r="D19" i="9"/>
  <c r="BB19" i="9" s="1"/>
  <c r="AV18" i="9"/>
  <c r="AU18" i="9"/>
  <c r="AT18" i="9"/>
  <c r="AR18" i="9"/>
  <c r="AQ18" i="9"/>
  <c r="AP18" i="9"/>
  <c r="AO18" i="9"/>
  <c r="AN18" i="9"/>
  <c r="AL18" i="9"/>
  <c r="AK18" i="9"/>
  <c r="H18" i="9"/>
  <c r="D18" i="9"/>
  <c r="BB18" i="9" s="1"/>
  <c r="AV17" i="9"/>
  <c r="AU17" i="9"/>
  <c r="AT17" i="9"/>
  <c r="AR17" i="9"/>
  <c r="AQ17" i="9"/>
  <c r="AP17" i="9"/>
  <c r="AO17" i="9"/>
  <c r="AN17" i="9"/>
  <c r="AL17" i="9"/>
  <c r="AK17" i="9"/>
  <c r="H17" i="9"/>
  <c r="D17" i="9"/>
  <c r="BB17" i="9" s="1"/>
  <c r="AV15" i="9"/>
  <c r="AU15" i="9"/>
  <c r="AT15" i="9"/>
  <c r="AR15" i="9"/>
  <c r="AQ15" i="9"/>
  <c r="AP15" i="9"/>
  <c r="AO15" i="9"/>
  <c r="AN15" i="9"/>
  <c r="AL15" i="9"/>
  <c r="AK15" i="9"/>
  <c r="H15" i="9"/>
  <c r="D15" i="9"/>
  <c r="BB15" i="9" s="1"/>
  <c r="AV14" i="9"/>
  <c r="AU14" i="9"/>
  <c r="AT14" i="9"/>
  <c r="AR14" i="9"/>
  <c r="AQ14" i="9"/>
  <c r="AP14" i="9"/>
  <c r="AO14" i="9"/>
  <c r="AN14" i="9"/>
  <c r="AL14" i="9"/>
  <c r="AK14" i="9"/>
  <c r="H14" i="9"/>
  <c r="D14" i="9"/>
  <c r="BB14" i="9" s="1"/>
  <c r="AV13" i="9"/>
  <c r="AU13" i="9"/>
  <c r="AT13" i="9"/>
  <c r="AR13" i="9"/>
  <c r="AQ13" i="9"/>
  <c r="AP13" i="9"/>
  <c r="AO13" i="9"/>
  <c r="AN13" i="9"/>
  <c r="AL13" i="9"/>
  <c r="AK13" i="9"/>
  <c r="H13" i="9"/>
  <c r="D13" i="9"/>
  <c r="BB13" i="9" s="1"/>
  <c r="AV12" i="9"/>
  <c r="AU12" i="9"/>
  <c r="AT12" i="9"/>
  <c r="AR12" i="9"/>
  <c r="AQ12" i="9"/>
  <c r="AP12" i="9"/>
  <c r="AO12" i="9"/>
  <c r="AN12" i="9"/>
  <c r="AL12" i="9"/>
  <c r="AK12" i="9"/>
  <c r="H12" i="9"/>
  <c r="D12" i="9"/>
  <c r="BB12" i="9" s="1"/>
  <c r="AV11" i="9"/>
  <c r="AU11" i="9"/>
  <c r="AT11" i="9"/>
  <c r="AR11" i="9"/>
  <c r="AQ11" i="9"/>
  <c r="AP11" i="9"/>
  <c r="AO11" i="9"/>
  <c r="AN11" i="9"/>
  <c r="AL11" i="9"/>
  <c r="AK11" i="9"/>
  <c r="H11" i="9"/>
  <c r="D11" i="9"/>
  <c r="AV10" i="9"/>
  <c r="AU10" i="9"/>
  <c r="AT10" i="9"/>
  <c r="AR10" i="9"/>
  <c r="AQ10" i="9"/>
  <c r="AP10" i="9"/>
  <c r="AO10" i="9"/>
  <c r="AN10" i="9"/>
  <c r="AL10" i="9"/>
  <c r="AK10" i="9"/>
  <c r="H10" i="9"/>
  <c r="D10" i="9"/>
  <c r="BB10" i="9" s="1"/>
  <c r="AV9" i="9"/>
  <c r="AU9" i="9"/>
  <c r="AT9" i="9"/>
  <c r="AR9" i="9"/>
  <c r="AQ9" i="9"/>
  <c r="AP9" i="9"/>
  <c r="AO9" i="9"/>
  <c r="AN9" i="9"/>
  <c r="AL9" i="9"/>
  <c r="AK9" i="9"/>
  <c r="H9" i="9"/>
  <c r="D9" i="9"/>
  <c r="BB9" i="9" s="1"/>
  <c r="AV8" i="9"/>
  <c r="AU8" i="9"/>
  <c r="AT8" i="9"/>
  <c r="AR8" i="9"/>
  <c r="AQ8" i="9"/>
  <c r="AP8" i="9"/>
  <c r="AO8" i="9"/>
  <c r="AN8" i="9"/>
  <c r="AL8" i="9"/>
  <c r="AK8" i="9"/>
  <c r="H8" i="9"/>
  <c r="D8" i="9"/>
  <c r="BB8" i="9" s="1"/>
  <c r="AV7" i="9"/>
  <c r="AU7" i="9"/>
  <c r="AT7" i="9"/>
  <c r="AR7" i="9"/>
  <c r="AQ7" i="9"/>
  <c r="AP7" i="9"/>
  <c r="AO7" i="9"/>
  <c r="AN7" i="9"/>
  <c r="AL7" i="9"/>
  <c r="AK7" i="9"/>
  <c r="H7" i="9"/>
  <c r="D7" i="9"/>
  <c r="BB7" i="9" s="1"/>
  <c r="AT3" i="9"/>
  <c r="F3" i="9"/>
  <c r="H33" i="9" l="1"/>
  <c r="AP33" i="9"/>
  <c r="AP25" i="9"/>
  <c r="BB26" i="9"/>
  <c r="E33" i="9"/>
  <c r="BB22" i="9"/>
  <c r="E25" i="9"/>
  <c r="BB11" i="9"/>
  <c r="E16" i="9"/>
  <c r="E35" i="9" s="1"/>
  <c r="F27" i="10"/>
  <c r="AQ16" i="9"/>
  <c r="H25" i="9"/>
  <c r="AN16" i="9"/>
  <c r="H35" i="10"/>
  <c r="AL35" i="10" s="1"/>
  <c r="G12" i="10"/>
  <c r="G14" i="10" s="1"/>
  <c r="BA9" i="10"/>
  <c r="AY9" i="10"/>
  <c r="BA10" i="10"/>
  <c r="AY10" i="10"/>
  <c r="G29" i="10"/>
  <c r="G30" i="10" s="1"/>
  <c r="G31" i="10" s="1"/>
  <c r="G32" i="10" s="1"/>
  <c r="G33" i="10" s="1"/>
  <c r="AY11" i="10"/>
  <c r="BA11" i="10"/>
  <c r="I12" i="10"/>
  <c r="H16" i="9"/>
  <c r="H35" i="9"/>
  <c r="AQ25" i="9"/>
  <c r="AO33" i="9"/>
  <c r="AP16" i="9"/>
  <c r="AN25" i="9"/>
  <c r="AL33" i="9"/>
  <c r="AO25" i="9"/>
  <c r="AL25" i="9"/>
  <c r="AQ33" i="9"/>
  <c r="AL16" i="9"/>
  <c r="AO16" i="9"/>
  <c r="AX7" i="9"/>
  <c r="AY7" i="9" s="1"/>
  <c r="BA7" i="9" s="1"/>
  <c r="AX10" i="9"/>
  <c r="AX11" i="9"/>
  <c r="AX12" i="9"/>
  <c r="AX13" i="9"/>
  <c r="AX14" i="9"/>
  <c r="AX15" i="9"/>
  <c r="AX17" i="9"/>
  <c r="AX19" i="9"/>
  <c r="AX8" i="9"/>
  <c r="F30" i="9"/>
  <c r="F26" i="9"/>
  <c r="F27" i="9"/>
  <c r="F28" i="9"/>
  <c r="F21" i="9"/>
  <c r="F22" i="9"/>
  <c r="F23" i="9"/>
  <c r="F7" i="9"/>
  <c r="F8" i="9"/>
  <c r="F9" i="9"/>
  <c r="F10" i="9"/>
  <c r="F11" i="9"/>
  <c r="F12" i="9"/>
  <c r="F13" i="9"/>
  <c r="F14" i="9"/>
  <c r="F15" i="9"/>
  <c r="F17" i="9"/>
  <c r="F18" i="9"/>
  <c r="F19" i="9"/>
  <c r="F24" i="9"/>
  <c r="F31" i="9"/>
  <c r="F32" i="9"/>
  <c r="F29" i="9"/>
  <c r="F20" i="9"/>
  <c r="G20" i="9" s="1"/>
  <c r="E21" i="9"/>
  <c r="E22" i="9" s="1"/>
  <c r="E23" i="9" s="1"/>
  <c r="E24" i="9" s="1"/>
  <c r="E26" i="9" s="1"/>
  <c r="E27" i="9" s="1"/>
  <c r="E28" i="9" s="1"/>
  <c r="E29" i="9" s="1"/>
  <c r="E30" i="9" s="1"/>
  <c r="E31" i="9" s="1"/>
  <c r="E32" i="9" s="1"/>
  <c r="AX9" i="9"/>
  <c r="AX18" i="9"/>
  <c r="E7" i="9"/>
  <c r="I7" i="9"/>
  <c r="BB20" i="9"/>
  <c r="AX20" i="9"/>
  <c r="AY20" i="9" s="1"/>
  <c r="AX21" i="9"/>
  <c r="AX22" i="9"/>
  <c r="AX23" i="9"/>
  <c r="AX24" i="9"/>
  <c r="AX26" i="9"/>
  <c r="AX27" i="9"/>
  <c r="AX28" i="9"/>
  <c r="AX29" i="9"/>
  <c r="AX30" i="9"/>
  <c r="AX31" i="9"/>
  <c r="AX32" i="9"/>
  <c r="AH28" i="5"/>
  <c r="AG28" i="5"/>
  <c r="AF28" i="5"/>
  <c r="AE28" i="5"/>
  <c r="AP35" i="9" l="1"/>
  <c r="AP35" i="10"/>
  <c r="AO35" i="10"/>
  <c r="AN35" i="10"/>
  <c r="AQ35" i="10"/>
  <c r="G15" i="10"/>
  <c r="G16" i="10" s="1"/>
  <c r="G17" i="10" s="1"/>
  <c r="F13" i="10"/>
  <c r="F34" i="10"/>
  <c r="AN35" i="9"/>
  <c r="AY12" i="10"/>
  <c r="AY13" i="10" s="1"/>
  <c r="BA12" i="10"/>
  <c r="I14" i="10"/>
  <c r="F35" i="9"/>
  <c r="AQ35" i="9"/>
  <c r="AO35" i="9"/>
  <c r="AL35" i="9"/>
  <c r="I8" i="9"/>
  <c r="I9" i="9" s="1"/>
  <c r="AY9" i="9" s="1"/>
  <c r="G21" i="9"/>
  <c r="G22" i="9" s="1"/>
  <c r="G23" i="9" s="1"/>
  <c r="G24" i="9" s="1"/>
  <c r="G26" i="9" s="1"/>
  <c r="G7" i="9"/>
  <c r="E8" i="9"/>
  <c r="E9" i="9" s="1"/>
  <c r="E10" i="9" s="1"/>
  <c r="E11" i="9" s="1"/>
  <c r="E12" i="9" s="1"/>
  <c r="E13" i="9" s="1"/>
  <c r="E14" i="9" s="1"/>
  <c r="E15" i="9" s="1"/>
  <c r="E17" i="9" s="1"/>
  <c r="E18" i="9" s="1"/>
  <c r="E19" i="9" s="1"/>
  <c r="AV21" i="2"/>
  <c r="AV22" i="2"/>
  <c r="AV23" i="2"/>
  <c r="AV24" i="2"/>
  <c r="AV25" i="2"/>
  <c r="AU21" i="2"/>
  <c r="AU22" i="2"/>
  <c r="AU23" i="2"/>
  <c r="AU24" i="2"/>
  <c r="AU25" i="2"/>
  <c r="AT21" i="2"/>
  <c r="AT22" i="2"/>
  <c r="AT23" i="2"/>
  <c r="AT24" i="2"/>
  <c r="AT25" i="2"/>
  <c r="AR21" i="2"/>
  <c r="AR22" i="2"/>
  <c r="AR23" i="2"/>
  <c r="AR24" i="2"/>
  <c r="AR25" i="2"/>
  <c r="AQ21" i="2"/>
  <c r="AQ22" i="2"/>
  <c r="AQ23" i="2"/>
  <c r="AQ24" i="2"/>
  <c r="AQ25" i="2"/>
  <c r="AP21" i="2"/>
  <c r="AP22" i="2"/>
  <c r="AP23" i="2"/>
  <c r="AP24" i="2"/>
  <c r="AP25" i="2"/>
  <c r="AO21" i="2"/>
  <c r="AO22" i="2"/>
  <c r="AO23" i="2"/>
  <c r="AO24" i="2"/>
  <c r="AO25" i="2"/>
  <c r="AN21" i="2"/>
  <c r="AN22" i="2"/>
  <c r="AN23" i="2"/>
  <c r="AN24" i="2"/>
  <c r="AN25" i="2"/>
  <c r="AL21" i="2"/>
  <c r="AL22" i="2"/>
  <c r="AL23" i="2"/>
  <c r="AL24" i="2"/>
  <c r="AL25" i="2"/>
  <c r="AK21" i="2"/>
  <c r="AK22" i="2"/>
  <c r="AK23" i="2"/>
  <c r="AK24" i="2"/>
  <c r="AK25" i="2"/>
  <c r="H21" i="2"/>
  <c r="H22" i="2"/>
  <c r="H23" i="2"/>
  <c r="H24" i="2"/>
  <c r="H25" i="2"/>
  <c r="AV20" i="2"/>
  <c r="AU20" i="2"/>
  <c r="AT20" i="2"/>
  <c r="AR20" i="2"/>
  <c r="AQ20" i="2"/>
  <c r="AP20" i="2"/>
  <c r="AO20" i="2"/>
  <c r="AN20" i="2"/>
  <c r="AL20" i="2"/>
  <c r="AK20" i="2"/>
  <c r="H20" i="2"/>
  <c r="AV27" i="2"/>
  <c r="AV28" i="2"/>
  <c r="AV29" i="2"/>
  <c r="AV30" i="2"/>
  <c r="AV31" i="2"/>
  <c r="AU27" i="2"/>
  <c r="AU28" i="2"/>
  <c r="AU29" i="2"/>
  <c r="AU30" i="2"/>
  <c r="AU31" i="2"/>
  <c r="AT27" i="2"/>
  <c r="AT28" i="2"/>
  <c r="AT29" i="2"/>
  <c r="AT30" i="2"/>
  <c r="AT31" i="2"/>
  <c r="AR27" i="2"/>
  <c r="AR28" i="2"/>
  <c r="AR29" i="2"/>
  <c r="AR30" i="2"/>
  <c r="AR31" i="2"/>
  <c r="AQ27" i="2"/>
  <c r="AQ28" i="2"/>
  <c r="AQ29" i="2"/>
  <c r="AQ30" i="2"/>
  <c r="AQ31" i="2"/>
  <c r="AP27" i="2"/>
  <c r="AP28" i="2"/>
  <c r="AP29" i="2"/>
  <c r="AP30" i="2"/>
  <c r="AP31" i="2"/>
  <c r="AO27" i="2"/>
  <c r="AO28" i="2"/>
  <c r="AO29" i="2"/>
  <c r="AO30" i="2"/>
  <c r="AO31" i="2"/>
  <c r="AN27" i="2"/>
  <c r="AN28" i="2"/>
  <c r="AN29" i="2"/>
  <c r="AN30" i="2"/>
  <c r="AN31" i="2"/>
  <c r="AL27" i="2"/>
  <c r="AL28" i="2"/>
  <c r="AL29" i="2"/>
  <c r="AL30" i="2"/>
  <c r="AL31" i="2"/>
  <c r="AK27" i="2"/>
  <c r="AK28" i="2"/>
  <c r="AK29" i="2"/>
  <c r="AK30" i="2"/>
  <c r="AK31" i="2"/>
  <c r="AV26" i="2"/>
  <c r="AU26" i="2"/>
  <c r="AT26" i="2"/>
  <c r="AR26" i="2"/>
  <c r="AQ26" i="2"/>
  <c r="AP26" i="2"/>
  <c r="AO26" i="2"/>
  <c r="AN26" i="2"/>
  <c r="AL26" i="2"/>
  <c r="AK26" i="2"/>
  <c r="H27" i="2"/>
  <c r="H28" i="2"/>
  <c r="H29" i="2"/>
  <c r="H30" i="2"/>
  <c r="H31" i="2"/>
  <c r="H26" i="2"/>
  <c r="AV8" i="2"/>
  <c r="AV9" i="2"/>
  <c r="AV10" i="2"/>
  <c r="AV11" i="2"/>
  <c r="AV12" i="2"/>
  <c r="AV13" i="2"/>
  <c r="AV14" i="2"/>
  <c r="AV15" i="2"/>
  <c r="AV16" i="2"/>
  <c r="AV17" i="2"/>
  <c r="AV18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R8" i="2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L8" i="2"/>
  <c r="AL9" i="2"/>
  <c r="AL10" i="2"/>
  <c r="AL11" i="2"/>
  <c r="AL12" i="2"/>
  <c r="AL13" i="2"/>
  <c r="AL14" i="2"/>
  <c r="AL15" i="2"/>
  <c r="AL16" i="2"/>
  <c r="AL17" i="2"/>
  <c r="AL18" i="2"/>
  <c r="AK8" i="2"/>
  <c r="AK9" i="2"/>
  <c r="AK10" i="2"/>
  <c r="AK11" i="2"/>
  <c r="AK12" i="2"/>
  <c r="AK13" i="2"/>
  <c r="AK14" i="2"/>
  <c r="AK15" i="2"/>
  <c r="AK16" i="2"/>
  <c r="AK17" i="2"/>
  <c r="AK18" i="2"/>
  <c r="AV7" i="2"/>
  <c r="AU7" i="2"/>
  <c r="AT7" i="2"/>
  <c r="AR7" i="2"/>
  <c r="AQ7" i="2"/>
  <c r="AP7" i="2"/>
  <c r="AO7" i="2"/>
  <c r="AN7" i="2"/>
  <c r="AL7" i="2"/>
  <c r="AK7" i="2"/>
  <c r="H8" i="2"/>
  <c r="H9" i="2"/>
  <c r="H10" i="2"/>
  <c r="H11" i="2"/>
  <c r="H12" i="2"/>
  <c r="H13" i="2"/>
  <c r="H14" i="2"/>
  <c r="H15" i="2"/>
  <c r="H16" i="2"/>
  <c r="H17" i="2"/>
  <c r="H18" i="2"/>
  <c r="H7" i="2"/>
  <c r="AY16" i="10" l="1"/>
  <c r="G18" i="10"/>
  <c r="G19" i="10" s="1"/>
  <c r="AY14" i="10"/>
  <c r="BA14" i="10"/>
  <c r="I15" i="10"/>
  <c r="H32" i="2"/>
  <c r="H34" i="2"/>
  <c r="H19" i="2"/>
  <c r="G27" i="9"/>
  <c r="G28" i="9" s="1"/>
  <c r="G29" i="9" s="1"/>
  <c r="G30" i="9" s="1"/>
  <c r="G31" i="9" s="1"/>
  <c r="G32" i="9" s="1"/>
  <c r="AY8" i="9"/>
  <c r="BA9" i="9"/>
  <c r="I10" i="9"/>
  <c r="BA10" i="9" s="1"/>
  <c r="BA8" i="9"/>
  <c r="G8" i="9"/>
  <c r="G9" i="9" s="1"/>
  <c r="G10" i="9" s="1"/>
  <c r="G11" i="9" s="1"/>
  <c r="G12" i="9" s="1"/>
  <c r="BJ9" i="5"/>
  <c r="BJ10" i="5"/>
  <c r="BJ11" i="5"/>
  <c r="BJ12" i="5"/>
  <c r="BJ13" i="5"/>
  <c r="BJ8" i="5"/>
  <c r="F20" i="10" l="1"/>
  <c r="AY15" i="10"/>
  <c r="BA15" i="10"/>
  <c r="I16" i="10"/>
  <c r="F33" i="9"/>
  <c r="G13" i="9"/>
  <c r="G14" i="9" s="1"/>
  <c r="G15" i="9" s="1"/>
  <c r="AY15" i="9" s="1"/>
  <c r="AY16" i="9" s="1"/>
  <c r="AY10" i="9"/>
  <c r="I11" i="9"/>
  <c r="AO24" i="5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BA16" i="10" l="1"/>
  <c r="I17" i="10"/>
  <c r="G17" i="9"/>
  <c r="G18" i="9" s="1"/>
  <c r="G19" i="9" s="1"/>
  <c r="F16" i="9"/>
  <c r="BA11" i="9"/>
  <c r="I12" i="9"/>
  <c r="AY11" i="9"/>
  <c r="F3" i="2"/>
  <c r="AT3" i="2"/>
  <c r="AX8" i="2"/>
  <c r="AX9" i="2"/>
  <c r="AX10" i="2"/>
  <c r="AX12" i="2"/>
  <c r="AX13" i="2"/>
  <c r="AX14" i="2"/>
  <c r="AX15" i="2"/>
  <c r="AX16" i="2"/>
  <c r="AX17" i="2"/>
  <c r="AX18" i="2"/>
  <c r="BA17" i="10" l="1"/>
  <c r="AY17" i="10"/>
  <c r="I18" i="10"/>
  <c r="F25" i="9"/>
  <c r="BA12" i="9"/>
  <c r="I13" i="9"/>
  <c r="I14" i="9" s="1"/>
  <c r="AY12" i="9"/>
  <c r="AX28" i="2"/>
  <c r="AX29" i="2"/>
  <c r="AX31" i="2"/>
  <c r="AX30" i="2"/>
  <c r="AX25" i="2"/>
  <c r="AX27" i="2"/>
  <c r="AX26" i="2"/>
  <c r="AX24" i="2"/>
  <c r="AX23" i="2"/>
  <c r="AX21" i="2"/>
  <c r="AE34" i="5"/>
  <c r="AF34" i="5" s="1"/>
  <c r="AG34" i="5" s="1"/>
  <c r="AH34" i="5" s="1"/>
  <c r="AI34" i="5" s="1"/>
  <c r="BA18" i="10" l="1"/>
  <c r="AY18" i="10"/>
  <c r="I19" i="10"/>
  <c r="AY13" i="9"/>
  <c r="BA13" i="9"/>
  <c r="BA14" i="9"/>
  <c r="AY14" i="9"/>
  <c r="I15" i="9"/>
  <c r="I17" i="9" s="1"/>
  <c r="AJ34" i="5"/>
  <c r="BA19" i="10" l="1"/>
  <c r="AY19" i="10"/>
  <c r="AY20" i="10" s="1"/>
  <c r="I21" i="10"/>
  <c r="BA15" i="9"/>
  <c r="I22" i="10" l="1"/>
  <c r="BA21" i="10"/>
  <c r="BA17" i="9"/>
  <c r="AY17" i="9"/>
  <c r="I18" i="9"/>
  <c r="I7" i="2"/>
  <c r="A3" i="5"/>
  <c r="S1" i="5"/>
  <c r="AY22" i="10" l="1"/>
  <c r="I23" i="10"/>
  <c r="BA22" i="10"/>
  <c r="I19" i="9"/>
  <c r="I20" i="9" s="1"/>
  <c r="I21" i="9" s="1"/>
  <c r="BA18" i="9"/>
  <c r="AY18" i="9"/>
  <c r="AI27" i="5"/>
  <c r="AE27" i="5"/>
  <c r="AH27" i="5"/>
  <c r="AG27" i="5"/>
  <c r="AF27" i="5"/>
  <c r="AB6" i="5"/>
  <c r="AB16" i="5"/>
  <c r="AB26" i="5"/>
  <c r="I8" i="2"/>
  <c r="AP32" i="2"/>
  <c r="AO32" i="2"/>
  <c r="AY23" i="10" l="1"/>
  <c r="I24" i="10"/>
  <c r="BA23" i="10"/>
  <c r="AY21" i="9"/>
  <c r="I22" i="9"/>
  <c r="BA19" i="9"/>
  <c r="AY19" i="9"/>
  <c r="I9" i="2"/>
  <c r="D30" i="2"/>
  <c r="D29" i="2"/>
  <c r="D28" i="2"/>
  <c r="D27" i="2"/>
  <c r="D17" i="2"/>
  <c r="D16" i="2"/>
  <c r="D15" i="2"/>
  <c r="D14" i="2"/>
  <c r="AY24" i="10" l="1"/>
  <c r="I25" i="10"/>
  <c r="BA24" i="10"/>
  <c r="I23" i="9"/>
  <c r="AY23" i="9" s="1"/>
  <c r="AY22" i="9"/>
  <c r="BA22" i="9"/>
  <c r="BA21" i="9"/>
  <c r="BA20" i="9"/>
  <c r="I10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Y25" i="10" l="1"/>
  <c r="BA25" i="10"/>
  <c r="I26" i="10"/>
  <c r="BA23" i="9"/>
  <c r="I24" i="9"/>
  <c r="I11" i="2"/>
  <c r="BB10" i="2"/>
  <c r="F10" i="2"/>
  <c r="D21" i="2"/>
  <c r="D22" i="2"/>
  <c r="D23" i="2"/>
  <c r="D24" i="2"/>
  <c r="D25" i="2"/>
  <c r="D26" i="2"/>
  <c r="D31" i="2"/>
  <c r="F31" i="2" s="1"/>
  <c r="D20" i="2"/>
  <c r="D8" i="2"/>
  <c r="D9" i="2"/>
  <c r="D11" i="2"/>
  <c r="D12" i="2"/>
  <c r="D13" i="2"/>
  <c r="D18" i="2"/>
  <c r="D7" i="2"/>
  <c r="AY10" i="2" s="1"/>
  <c r="AQ32" i="2"/>
  <c r="AN32" i="2"/>
  <c r="AM32" i="2"/>
  <c r="AL32" i="2"/>
  <c r="AQ19" i="2"/>
  <c r="AP19" i="2"/>
  <c r="AO19" i="2"/>
  <c r="AN19" i="2"/>
  <c r="AM19" i="2"/>
  <c r="AL19" i="2"/>
  <c r="F20" i="2" l="1"/>
  <c r="AX20" i="2"/>
  <c r="BA10" i="2"/>
  <c r="F7" i="2"/>
  <c r="AX7" i="2"/>
  <c r="BA8" i="2"/>
  <c r="AY8" i="2"/>
  <c r="BA9" i="2"/>
  <c r="AY9" i="2"/>
  <c r="E32" i="2"/>
  <c r="AX22" i="2"/>
  <c r="BA11" i="2"/>
  <c r="E19" i="2"/>
  <c r="AX11" i="2"/>
  <c r="AY26" i="10"/>
  <c r="AY27" i="10" s="1"/>
  <c r="BA26" i="10"/>
  <c r="I28" i="10"/>
  <c r="BA24" i="9"/>
  <c r="I26" i="9"/>
  <c r="AY26" i="9" s="1"/>
  <c r="AY24" i="9"/>
  <c r="AY25" i="9" s="1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AY28" i="10" l="1"/>
  <c r="BA28" i="10"/>
  <c r="I29" i="10"/>
  <c r="F32" i="2"/>
  <c r="F19" i="2"/>
  <c r="I27" i="9"/>
  <c r="BA27" i="9" s="1"/>
  <c r="BA26" i="9"/>
  <c r="F34" i="2"/>
  <c r="I13" i="2"/>
  <c r="AY12" i="2"/>
  <c r="AY20" i="2"/>
  <c r="AY7" i="2"/>
  <c r="BA7" i="2" s="1"/>
  <c r="E8" i="2"/>
  <c r="G7" i="2"/>
  <c r="G20" i="2"/>
  <c r="E21" i="2"/>
  <c r="AY29" i="10" l="1"/>
  <c r="BA29" i="10"/>
  <c r="I30" i="10"/>
  <c r="I28" i="9"/>
  <c r="I29" i="9" s="1"/>
  <c r="AY27" i="9"/>
  <c r="AY13" i="2"/>
  <c r="BA13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AY30" i="10" l="1"/>
  <c r="BA30" i="10"/>
  <c r="I31" i="10"/>
  <c r="BA28" i="9"/>
  <c r="AY28" i="9"/>
  <c r="AY29" i="9"/>
  <c r="I30" i="9"/>
  <c r="BA29" i="9"/>
  <c r="I15" i="2"/>
  <c r="BA15" i="2" s="1"/>
  <c r="AY14" i="2"/>
  <c r="G22" i="2"/>
  <c r="G9" i="2"/>
  <c r="G10" i="2" s="1"/>
  <c r="D34" i="1"/>
  <c r="AY31" i="10" l="1"/>
  <c r="BA31" i="10"/>
  <c r="I32" i="10"/>
  <c r="AY30" i="9"/>
  <c r="I31" i="9"/>
  <c r="BA30" i="9"/>
  <c r="I16" i="2"/>
  <c r="BA16" i="2" s="1"/>
  <c r="G11" i="2"/>
  <c r="G12" i="2" s="1"/>
  <c r="E34" i="2"/>
  <c r="G23" i="2"/>
  <c r="AY32" i="10" l="1"/>
  <c r="BA32" i="10"/>
  <c r="I33" i="10"/>
  <c r="AY31" i="9"/>
  <c r="I32" i="9"/>
  <c r="H34" i="9" s="1"/>
  <c r="BA31" i="9"/>
  <c r="I17" i="2"/>
  <c r="AY16" i="2"/>
  <c r="AI28" i="5"/>
  <c r="G24" i="2"/>
  <c r="G13" i="2"/>
  <c r="AY33" i="10" l="1"/>
  <c r="AY34" i="10" s="1"/>
  <c r="BA33" i="10"/>
  <c r="AX38" i="10" s="1"/>
  <c r="AY32" i="9"/>
  <c r="AY33" i="9" s="1"/>
  <c r="BA32" i="9"/>
  <c r="AX37" i="9" s="1"/>
  <c r="AY17" i="2"/>
  <c r="BA17" i="2"/>
  <c r="I18" i="2"/>
  <c r="I20" i="2" s="1"/>
  <c r="I21" i="2" s="1"/>
  <c r="G25" i="2"/>
  <c r="G14" i="2"/>
  <c r="I22" i="2" l="1"/>
  <c r="AY21" i="2"/>
  <c r="AQ34" i="9"/>
  <c r="AL34" i="9"/>
  <c r="AO34" i="9"/>
  <c r="AP34" i="9"/>
  <c r="AN34" i="9"/>
  <c r="BA18" i="2"/>
  <c r="AY18" i="2"/>
  <c r="AI33" i="5"/>
  <c r="AI32" i="5"/>
  <c r="AI30" i="5"/>
  <c r="AI29" i="5"/>
  <c r="AI31" i="5"/>
  <c r="AH33" i="5"/>
  <c r="AH32" i="5"/>
  <c r="AH31" i="5"/>
  <c r="AH30" i="5"/>
  <c r="AH29" i="5"/>
  <c r="AJ28" i="5"/>
  <c r="AG32" i="5"/>
  <c r="AG33" i="5"/>
  <c r="AG29" i="5"/>
  <c r="AG30" i="5"/>
  <c r="AG31" i="5"/>
  <c r="AE32" i="5"/>
  <c r="AE29" i="5"/>
  <c r="AE31" i="5"/>
  <c r="AE33" i="5"/>
  <c r="AE30" i="5"/>
  <c r="AF33" i="5"/>
  <c r="AF31" i="5"/>
  <c r="AF30" i="5"/>
  <c r="AF32" i="5"/>
  <c r="AF29" i="5"/>
  <c r="G26" i="2"/>
  <c r="G15" i="2"/>
  <c r="I23" i="2" l="1"/>
  <c r="BA23" i="2" s="1"/>
  <c r="AY22" i="2"/>
  <c r="BA21" i="2"/>
  <c r="BA22" i="2"/>
  <c r="BA20" i="2"/>
  <c r="AY15" i="2"/>
  <c r="AJ29" i="5"/>
  <c r="AJ30" i="5"/>
  <c r="AJ31" i="5"/>
  <c r="AJ32" i="5"/>
  <c r="AJ33" i="5"/>
  <c r="G27" i="2"/>
  <c r="G16" i="2"/>
  <c r="I24" i="2" l="1"/>
  <c r="AY23" i="2"/>
  <c r="G17" i="2"/>
  <c r="G18" i="2" s="1"/>
  <c r="G28" i="2"/>
  <c r="I25" i="2" l="1"/>
  <c r="AY24" i="2"/>
  <c r="BA24" i="2"/>
  <c r="G29" i="2"/>
  <c r="G30" i="2" s="1"/>
  <c r="AY19" i="2"/>
  <c r="I26" i="2" l="1"/>
  <c r="AY25" i="2"/>
  <c r="BA25" i="2"/>
  <c r="G31" i="2"/>
  <c r="AY26" i="2" l="1"/>
  <c r="I27" i="2"/>
  <c r="BA26" i="2"/>
  <c r="I28" i="2" l="1"/>
  <c r="AY27" i="2"/>
  <c r="BA27" i="2"/>
  <c r="I29" i="2" l="1"/>
  <c r="AY28" i="2"/>
  <c r="BA28" i="2"/>
  <c r="I30" i="2" l="1"/>
  <c r="AY29" i="2"/>
  <c r="BA29" i="2"/>
  <c r="I31" i="2" l="1"/>
  <c r="AY30" i="2"/>
  <c r="BA30" i="2"/>
  <c r="AY31" i="2" l="1"/>
  <c r="AY32" i="2" s="1"/>
  <c r="BA31" i="2"/>
  <c r="AX36" i="2" s="1"/>
  <c r="H33" i="2"/>
  <c r="AP33" i="2" l="1"/>
  <c r="AO33" i="2"/>
  <c r="AN33" i="2"/>
  <c r="AQ33" i="2"/>
  <c r="AL33" i="2"/>
</calcChain>
</file>

<file path=xl/connections.xml><?xml version="1.0" encoding="utf-8"?>
<connections xmlns="http://schemas.openxmlformats.org/spreadsheetml/2006/main">
  <connection id="1" sourceFile="C:\Users\GJA5TL\Desktop\SystemKPI.accdb" keepAlive="1" interval="1" name="SystemKPI" type="5" refreshedVersion="0" new="1" background="1" refreshOnLoad="1" saveData="1">
    <dbPr connection="Provider=Microsoft.ACE.OLEDB.12.0;Password=&quot;&quot;;User ID=Admin;Data Source=C:\Users\GJA5TL\Desktop\SystemKPI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2" sourceFile="C:\Users\GJA5TL\Desktop\SystemKPI.accdb" odcFile="C:\Users\GJA5TL\Documents\My Data Sources\SystemKPI HourlyCount.od.odc" keepAlive="1" interval="1" name="SystemKPI HourlyCount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3" sourceFile="C:\Users\GJA5TL\Desktop\SystemKPI.accdb" odcFile="C:\Users\GJA5TL\Documents\My Data Sources\SystemKPI HourlyCount.od.odc" keepAlive="1" interval="1" name="SystemKPI HourlyCount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4" sourceFile="C:\Users\GJA5TL.SG\Desktop\SystemKPI.accdb" odcFile="C:\Users\GJA5TL.SG\Documents\My Data Sources\SystemKPI.od.odc" keepAlive="1" interval="1" name="SystemKPI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  <connection id="5" sourceFile="C:\Users\GJA5TL.SG\Desktop\SystemKPI.accdb" odcFile="C:\Users\GJA5TL.SG\Documents\My Data Sources\SystemKPI.od.odc" keepAlive="1" interval="1" name="SystemKPI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</connections>
</file>

<file path=xl/sharedStrings.xml><?xml version="1.0" encoding="utf-8"?>
<sst xmlns="http://schemas.openxmlformats.org/spreadsheetml/2006/main" count="1330" uniqueCount="326">
  <si>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</si>
  <si>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</si>
  <si>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</si>
  <si>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</si>
  <si>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</si>
  <si>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</si>
  <si>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</si>
  <si>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</si>
  <si>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</si>
  <si>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</si>
  <si>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</si>
  <si>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</si>
  <si>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</si>
  <si>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</si>
  <si>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</si>
  <si>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</si>
  <si>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</si>
  <si>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</si>
  <si>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</si>
  <si>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</si>
  <si>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</si>
  <si>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</si>
  <si>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</si>
  <si>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</si>
  <si>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</si>
  <si>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</si>
  <si>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</si>
  <si>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</si>
  <si>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</si>
  <si>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</si>
  <si>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</si>
  <si>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</si>
  <si>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</si>
  <si>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</si>
  <si>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</si>
  <si>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</si>
  <si>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</si>
  <si>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</si>
  <si>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</si>
  <si>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</si>
  <si>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</si>
  <si>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</si>
  <si>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</si>
  <si>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</si>
  <si>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</si>
  <si>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</si>
  <si>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</si>
  <si>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</si>
  <si>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</si>
  <si>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</si>
  <si>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</si>
  <si>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</si>
  <si>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</si>
  <si>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</si>
  <si>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</si>
  <si>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</si>
  <si>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</si>
  <si>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</si>
  <si>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</si>
  <si>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</si>
  <si>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</si>
  <si>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</si>
  <si>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</si>
  <si>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</si>
  <si>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</si>
  <si>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</si>
  <si>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</si>
  <si>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</si>
  <si>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</si>
  <si>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</si>
  <si>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</si>
  <si>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</si>
  <si>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</si>
  <si>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</si>
  <si>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</si>
  <si>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</si>
  <si>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</si>
  <si>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</si>
  <si>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</si>
  <si>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</si>
  <si>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</si>
  <si>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</si>
  <si>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Fecha</t>
  </si>
  <si>
    <t>NombreLinea</t>
  </si>
  <si>
    <t>Hora</t>
  </si>
  <si>
    <t>CantProducida</t>
  </si>
  <si>
    <t>NoParteTC</t>
  </si>
  <si>
    <t>CambioDuracion</t>
  </si>
  <si>
    <t>TecnicaDuracion</t>
  </si>
  <si>
    <t>OrganizacionalDuracion</t>
  </si>
  <si>
    <t>TiempoPDuracion</t>
  </si>
  <si>
    <t>OperacionX</t>
  </si>
  <si>
    <t>ProblemaX</t>
  </si>
  <si>
    <t>OperacionY</t>
  </si>
  <si>
    <t>ProblemaY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</si>
  <si>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</si>
  <si>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</si>
  <si>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</si>
  <si>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</si>
  <si>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</si>
  <si>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</si>
  <si>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</si>
  <si>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</si>
  <si>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</si>
  <si>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</si>
  <si>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</si>
  <si>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</si>
  <si>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</si>
  <si>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</si>
  <si>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</si>
  <si>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</si>
  <si>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</si>
  <si>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</si>
  <si>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</si>
  <si>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</si>
  <si>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</si>
  <si>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</si>
  <si>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</si>
  <si>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</si>
  <si>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</si>
  <si>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</si>
  <si>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</si>
  <si>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</si>
  <si>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</si>
  <si>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 xml:space="preserve"> 0.16% </t>
  </si>
  <si>
    <t xml:space="preserve"> 15.34% </t>
  </si>
  <si>
    <t xml:space="preserve"> 0.00% </t>
  </si>
  <si>
    <t xml:space="preserve"> 77.18% </t>
  </si>
  <si>
    <t xml:space="preserve"> 7.32% </t>
  </si>
  <si>
    <t>Mes</t>
  </si>
  <si>
    <t>Dia</t>
  </si>
  <si>
    <t>Calidad</t>
  </si>
  <si>
    <t>Organizacionales</t>
  </si>
  <si>
    <t>Tecnicas</t>
  </si>
  <si>
    <t>Cambios</t>
  </si>
  <si>
    <t>Desempeno</t>
  </si>
  <si>
    <t xml:space="preserve"> 10.72% </t>
  </si>
  <si>
    <t xml:space="preserve"> 1.68% </t>
  </si>
  <si>
    <t xml:space="preserve"> 81.20% </t>
  </si>
  <si>
    <t xml:space="preserve"> 6.40% </t>
  </si>
  <si>
    <t xml:space="preserve"> 17.02% </t>
  </si>
  <si>
    <t xml:space="preserve"> 2.59% </t>
  </si>
  <si>
    <t xml:space="preserve"> 8.21% </t>
  </si>
  <si>
    <t xml:space="preserve"> 59.21% </t>
  </si>
  <si>
    <t xml:space="preserve"> 12.97% </t>
  </si>
  <si>
    <t xml:space="preserve"> 5.52% </t>
  </si>
  <si>
    <t xml:space="preserve"> 42.73% </t>
  </si>
  <si>
    <t xml:space="preserve"> 31.94% </t>
  </si>
  <si>
    <t xml:space="preserve"> 19.82% </t>
  </si>
  <si>
    <t xml:space="preserve"> 14.57% </t>
  </si>
  <si>
    <t xml:space="preserve"> 1.64% </t>
  </si>
  <si>
    <t xml:space="preserve"> 72.25% </t>
  </si>
  <si>
    <t xml:space="preserve"> 11.55% </t>
  </si>
  <si>
    <t xml:space="preserve"> 8.33% </t>
  </si>
  <si>
    <t xml:space="preserve"> 91.67% </t>
  </si>
  <si>
    <t xml:space="preserve"> 65.93% </t>
  </si>
  <si>
    <t xml:space="preserve"> 7.68% </t>
  </si>
  <si>
    <t xml:space="preserve"> 20.48% </t>
  </si>
  <si>
    <t xml:space="preserve"> 5.91% </t>
  </si>
  <si>
    <t xml:space="preserve"> 19.71% </t>
  </si>
  <si>
    <t xml:space="preserve"> 0.72% </t>
  </si>
  <si>
    <t xml:space="preserve"> 36.17% </t>
  </si>
  <si>
    <t xml:space="preserve"> 43.40% </t>
  </si>
  <si>
    <t xml:space="preserve"> 13.63% </t>
  </si>
  <si>
    <t xml:space="preserve"> 3.79% </t>
  </si>
  <si>
    <t xml:space="preserve"> 22.36% </t>
  </si>
  <si>
    <t xml:space="preserve"> 45.80% </t>
  </si>
  <si>
    <t xml:space="preserve"> 14.42% </t>
  </si>
  <si>
    <t xml:space="preserve"> 0.63% </t>
  </si>
  <si>
    <t xml:space="preserve"> 6.50% </t>
  </si>
  <si>
    <t xml:space="preserve"> 66.91% </t>
  </si>
  <si>
    <t xml:space="preserve"> 6.25% </t>
  </si>
  <si>
    <t xml:space="preserve"> 67.29% </t>
  </si>
  <si>
    <t xml:space="preserve"> 19.27% </t>
  </si>
  <si>
    <t xml:space="preserve"> 13.44% </t>
  </si>
  <si>
    <t xml:space="preserve"> 33.67% </t>
  </si>
  <si>
    <t xml:space="preserve"> 54.09% </t>
  </si>
  <si>
    <t xml:space="preserve"> 12.25% </t>
  </si>
  <si>
    <t xml:space="preserve"> 20.99% </t>
  </si>
  <si>
    <t xml:space="preserve"> 0.45% </t>
  </si>
  <si>
    <t xml:space="preserve"> 6.36% </t>
  </si>
  <si>
    <t xml:space="preserve"> 44.95% </t>
  </si>
  <si>
    <t xml:space="preserve"> 27.24% </t>
  </si>
  <si>
    <t xml:space="preserve"> 23.85% </t>
  </si>
  <si>
    <t xml:space="preserve"> 12.07% </t>
  </si>
  <si>
    <t xml:space="preserve"> 33.49% </t>
  </si>
  <si>
    <t xml:space="preserve"> 30.59% </t>
  </si>
  <si>
    <t xml:space="preserve"> 37.26% </t>
  </si>
  <si>
    <t xml:space="preserve"> 3.02% </t>
  </si>
  <si>
    <t xml:space="preserve"> 29.56% </t>
  </si>
  <si>
    <t xml:space="preserve"> 6.03% </t>
  </si>
  <si>
    <t xml:space="preserve"> 24.13% </t>
  </si>
  <si>
    <t xml:space="preserve"> 7.55% </t>
  </si>
  <si>
    <t xml:space="preserve"> 92.45% </t>
  </si>
  <si>
    <t xml:space="preserve"> 37.54% </t>
  </si>
  <si>
    <t xml:space="preserve"> 19.68% </t>
  </si>
  <si>
    <t xml:space="preserve"> 29.06% </t>
  </si>
  <si>
    <t xml:space="preserve"> 13.73% </t>
  </si>
  <si>
    <t xml:space="preserve"> 14.10% </t>
  </si>
  <si>
    <t xml:space="preserve"> 12.42% </t>
  </si>
  <si>
    <t xml:space="preserve"> 10.35% </t>
  </si>
  <si>
    <t xml:space="preserve"> 32.08% </t>
  </si>
  <si>
    <t xml:space="preserve"> 31.05% </t>
  </si>
  <si>
    <t xml:space="preserve"> 9.79% </t>
  </si>
  <si>
    <t xml:space="preserve"> 3.62% </t>
  </si>
  <si>
    <t xml:space="preserve"> 71.39% </t>
  </si>
  <si>
    <t xml:space="preserve"> 14.47% </t>
  </si>
  <si>
    <t xml:space="preserve"> 28.95% </t>
  </si>
  <si>
    <t xml:space="preserve"> 0.57% </t>
  </si>
  <si>
    <t xml:space="preserve"> 61.06% </t>
  </si>
  <si>
    <t xml:space="preserve"> 9.42% </t>
  </si>
  <si>
    <t xml:space="preserve"> 35.50% </t>
  </si>
  <si>
    <t xml:space="preserve"> 31.43% </t>
  </si>
  <si>
    <t xml:space="preserve"> 6.83% </t>
  </si>
  <si>
    <t xml:space="preserve"> 24.60% </t>
  </si>
  <si>
    <t>Column Labels</t>
  </si>
  <si>
    <t>Grand Total</t>
  </si>
  <si>
    <t>(All)</t>
  </si>
  <si>
    <t>M</t>
  </si>
  <si>
    <t>A</t>
  </si>
  <si>
    <t xml:space="preserve"> 36.11% </t>
  </si>
  <si>
    <t xml:space="preserve"> 0.48% </t>
  </si>
  <si>
    <t xml:space="preserve"> 44.14% </t>
  </si>
  <si>
    <t xml:space="preserve"> 19.26% </t>
  </si>
  <si>
    <t>L003</t>
  </si>
  <si>
    <t>0</t>
  </si>
  <si>
    <t xml:space="preserve">
</t>
  </si>
  <si>
    <t xml:space="preserve"> 19.29% </t>
  </si>
  <si>
    <t xml:space="preserve"> 11.94% </t>
  </si>
  <si>
    <t xml:space="preserve"> 37.97% </t>
  </si>
  <si>
    <t xml:space="preserve"> 30.81% </t>
  </si>
  <si>
    <t xml:space="preserve"> 9.14% </t>
  </si>
  <si>
    <t xml:space="preserve"> 0.82% </t>
  </si>
  <si>
    <t xml:space="preserve"> 5.77% </t>
  </si>
  <si>
    <t xml:space="preserve"> 64.48% </t>
  </si>
  <si>
    <t xml:space="preserve"> 19.79% </t>
  </si>
  <si>
    <t xml:space="preserve"> 3.22% </t>
  </si>
  <si>
    <t xml:space="preserve"> 16.83% </t>
  </si>
  <si>
    <t xml:space="preserve"> 9.15% </t>
  </si>
  <si>
    <t xml:space="preserve"> 4.38% </t>
  </si>
  <si>
    <t xml:space="preserve"> 63.67% </t>
  </si>
  <si>
    <t xml:space="preserve"> 5.97% </t>
  </si>
  <si>
    <t xml:space="preserve"> 0.56% </t>
  </si>
  <si>
    <t xml:space="preserve"> 61.11% </t>
  </si>
  <si>
    <t xml:space="preserve"> 9.37% </t>
  </si>
  <si>
    <t xml:space="preserve"> 14.68% </t>
  </si>
  <si>
    <t xml:space="preserve"> 0.76% </t>
  </si>
  <si>
    <t xml:space="preserve"> 15.10% </t>
  </si>
  <si>
    <t xml:space="preserve"> 38.00% </t>
  </si>
  <si>
    <t xml:space="preserve"> 31.46% </t>
  </si>
  <si>
    <t xml:space="preserve"> 13.34% </t>
  </si>
  <si>
    <t xml:space="preserve"> 72.49% </t>
  </si>
  <si>
    <t xml:space="preserve"> 14.17% </t>
  </si>
  <si>
    <t xml:space="preserve"> 1.60% </t>
  </si>
  <si>
    <t xml:space="preserve"> 98.40% </t>
  </si>
  <si>
    <t xml:space="preserve"> 38.10% </t>
  </si>
  <si>
    <t xml:space="preserve"> 49.82% </t>
  </si>
  <si>
    <t xml:space="preserve"> 12.08% </t>
  </si>
  <si>
    <t xml:space="preserve"> 20.42% </t>
  </si>
  <si>
    <t xml:space="preserve"> 73.22% </t>
  </si>
  <si>
    <t xml:space="preserve"> 45.16% </t>
  </si>
  <si>
    <t xml:space="preserve"> 19.18% </t>
  </si>
  <si>
    <t xml:space="preserve"> 30.17% </t>
  </si>
  <si>
    <t xml:space="preserve"> 5.49% </t>
  </si>
  <si>
    <t xml:space="preserve"> 24.62% </t>
  </si>
  <si>
    <t xml:space="preserve"> 69.38% </t>
  </si>
  <si>
    <t xml:space="preserve"> 3.28% </t>
  </si>
  <si>
    <t xml:space="preserve"> 2.73% </t>
  </si>
  <si>
    <t xml:space="preserve"> 18.20% </t>
  </si>
  <si>
    <t xml:space="preserve"> 74.12% </t>
  </si>
  <si>
    <t xml:space="preserve"> 1.54% </t>
  </si>
  <si>
    <t xml:space="preserve"> 6.14% </t>
  </si>
  <si>
    <t xml:space="preserve"> 11.09% </t>
  </si>
  <si>
    <t xml:space="preserve"> 74.60% </t>
  </si>
  <si>
    <t xml:space="preserve"> 14.30% </t>
  </si>
  <si>
    <t xml:space="preserve"> 18.25% </t>
  </si>
  <si>
    <t xml:space="preserve"> 62.93% </t>
  </si>
  <si>
    <t xml:space="preserve"> 2.60% </t>
  </si>
  <si>
    <t xml:space="preserve"> 16.22% </t>
  </si>
  <si>
    <t>120</t>
  </si>
  <si>
    <t xml:space="preserve">
L003</t>
  </si>
  <si>
    <t>4.Shift</t>
  </si>
  <si>
    <t>100</t>
  </si>
  <si>
    <t>200</t>
  </si>
  <si>
    <t>0001179009/15</t>
  </si>
  <si>
    <t>80</t>
  </si>
  <si>
    <t>0001179515/15</t>
  </si>
  <si>
    <t xml:space="preserve">
VW-0001179515 a VW-0001179519</t>
  </si>
  <si>
    <t>0001179519/15</t>
  </si>
  <si>
    <t>160</t>
  </si>
  <si>
    <t>0001172403/15</t>
  </si>
  <si>
    <t xml:space="preserve">
1210
</t>
  </si>
  <si>
    <t xml:space="preserve">
Ajuste de etiqueta en STN 1210
</t>
  </si>
  <si>
    <t>230</t>
  </si>
  <si>
    <t xml:space="preserve">
1040
</t>
  </si>
  <si>
    <t>180</t>
  </si>
  <si>
    <t xml:space="preserve">
1020
</t>
  </si>
  <si>
    <t xml:space="preserve">
Cambio de ribon STN 1210
</t>
  </si>
  <si>
    <t>225</t>
  </si>
  <si>
    <t>0001179517/15</t>
  </si>
  <si>
    <t>220</t>
  </si>
  <si>
    <t xml:space="preserve">
VW-0001179517 a VW-0001179515</t>
  </si>
  <si>
    <t>240</t>
  </si>
  <si>
    <t xml:space="preserve">
VW-0001179519 a VW-0001179009</t>
  </si>
  <si>
    <t>215</t>
  </si>
  <si>
    <t>112</t>
  </si>
  <si>
    <t>0001170641/15</t>
  </si>
  <si>
    <t xml:space="preserve">
VW-0001179009 a CHRYSLER-0001170641</t>
  </si>
  <si>
    <t>1</t>
  </si>
  <si>
    <t xml:space="preserve">
1190
</t>
  </si>
  <si>
    <t xml:space="preserve">
Cambio de arnes
</t>
  </si>
  <si>
    <t xml:space="preserve">
1060
</t>
  </si>
  <si>
    <t xml:space="preserve">
Cambio de mordazas
</t>
  </si>
  <si>
    <t>66</t>
  </si>
  <si>
    <t>0001180603/15</t>
  </si>
  <si>
    <t xml:space="preserve">
CHRYSLER-0001170641 a FORD-0001180603</t>
  </si>
  <si>
    <t>159</t>
  </si>
  <si>
    <t xml:space="preserve">
1140
</t>
  </si>
  <si>
    <t xml:space="preserve">
Limpieza de herramental STN 1140
</t>
  </si>
  <si>
    <t>48</t>
  </si>
  <si>
    <t xml:space="preserve">
Ajuste de camara STN 1040
</t>
  </si>
  <si>
    <t>178</t>
  </si>
  <si>
    <t xml:space="preserve">
FORD-0001180603 a AUDI-0001172403</t>
  </si>
  <si>
    <t>85</t>
  </si>
  <si>
    <t xml:space="preserve">
AUDI-0001172403 a VW-0001179517</t>
  </si>
  <si>
    <t>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</si>
</sst>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\-yy;@"/>
    <numFmt numFmtId="165" formatCode="0.0"/>
    <numFmt numFmtId="166" formatCode="0.0%"/>
    <numFmt numFmtId="167" formatCode="d"/>
    <numFmt numFmtId="168" formatCode="[$-80A]mmmm&quot; de &quot;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000000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67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4" fontId="0" fillId="0" borderId="0" xfId="0" applyNumberFormat="1"/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5" borderId="3" xfId="3" applyFont="1" applyFill="1" applyBorder="1" applyAlignment="1" applyProtection="1">
      <alignment horizontal="left"/>
    </xf>
    <xf numFmtId="0" fontId="42" fillId="15" borderId="2" xfId="3" applyFont="1" applyFill="1" applyBorder="1" applyAlignment="1" applyProtection="1">
      <alignment horizontal="left"/>
    </xf>
    <xf numFmtId="0" fontId="42" fillId="15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5" borderId="3" xfId="3" applyNumberFormat="1" applyFont="1" applyFill="1" applyBorder="1" applyAlignment="1" applyProtection="1">
      <alignment horizontal="center"/>
    </xf>
    <xf numFmtId="167" fontId="38" fillId="15" borderId="2" xfId="3" applyNumberFormat="1" applyFont="1" applyFill="1" applyBorder="1" applyAlignment="1" applyProtection="1">
      <alignment horizontal="center"/>
    </xf>
    <xf numFmtId="167" fontId="38" fillId="15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6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7" borderId="0" xfId="3" applyFill="1" applyBorder="1" applyProtection="1"/>
    <xf numFmtId="0" fontId="40" fillId="17" borderId="0" xfId="3" applyFill="1" applyBorder="1" applyAlignment="1" applyProtection="1">
      <alignment horizontal="center"/>
    </xf>
    <xf numFmtId="0" fontId="40" fillId="17" borderId="81" xfId="3" applyFill="1" applyBorder="1" applyProtection="1"/>
    <xf numFmtId="0" fontId="45" fillId="17" borderId="80" xfId="3" applyFont="1" applyFill="1" applyBorder="1" applyAlignment="1" applyProtection="1">
      <alignment vertical="center" textRotation="90"/>
    </xf>
    <xf numFmtId="0" fontId="45" fillId="17" borderId="0" xfId="3" applyFont="1" applyFill="1" applyBorder="1" applyAlignment="1" applyProtection="1">
      <alignment vertical="center" textRotation="90"/>
    </xf>
    <xf numFmtId="0" fontId="45" fillId="17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0" fontId="17" fillId="0" borderId="90" xfId="3" applyFont="1" applyFill="1" applyBorder="1" applyProtection="1">
      <protection locked="0"/>
    </xf>
    <xf numFmtId="0" fontId="1" fillId="0" borderId="0" xfId="5" applyAlignment="1"/>
    <xf numFmtId="0" fontId="45" fillId="17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1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7" borderId="0" xfId="3" applyFont="1" applyFill="1" applyBorder="1" applyAlignment="1" applyProtection="1">
      <alignment horizontal="center" vertical="center"/>
    </xf>
    <xf numFmtId="0" fontId="51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7" borderId="83" xfId="3" applyFill="1" applyBorder="1" applyProtection="1"/>
    <xf numFmtId="0" fontId="53" fillId="17" borderId="83" xfId="3" applyFont="1" applyFill="1" applyBorder="1" applyAlignment="1" applyProtection="1">
      <alignment horizontal="center" vertical="center"/>
    </xf>
    <xf numFmtId="0" fontId="40" fillId="17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2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0" fontId="0" fillId="0" borderId="0" xfId="0" pivotButton="1"/>
    <xf numFmtId="10" fontId="42" fillId="15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6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8" fillId="12" borderId="22" xfId="3" applyNumberFormat="1" applyFont="1" applyFill="1" applyBorder="1" applyAlignment="1" applyProtection="1">
      <alignment horizontal="center"/>
    </xf>
    <xf numFmtId="0" fontId="40" fillId="17" borderId="0" xfId="3" applyFill="1" applyBorder="1" applyProtection="1">
      <protection locked="0"/>
    </xf>
    <xf numFmtId="0" fontId="38" fillId="17" borderId="0" xfId="3" applyFont="1" applyFill="1" applyBorder="1" applyAlignment="1" applyProtection="1">
      <alignment horizontal="center" vertical="center"/>
    </xf>
    <xf numFmtId="0" fontId="48" fillId="19" borderId="0" xfId="3" applyFont="1" applyFill="1" applyBorder="1" applyAlignment="1" applyProtection="1">
      <alignment horizontal="center" vertical="center"/>
    </xf>
    <xf numFmtId="9" fontId="0" fillId="17" borderId="0" xfId="4" applyNumberFormat="1" applyFont="1" applyFill="1" applyBorder="1" applyAlignment="1" applyProtection="1">
      <alignment horizontal="right" vertical="center"/>
      <protection locked="0"/>
    </xf>
    <xf numFmtId="0" fontId="1" fillId="17" borderId="0" xfId="5" applyFill="1" applyBorder="1" applyProtection="1">
      <protection locked="0"/>
    </xf>
    <xf numFmtId="0" fontId="40" fillId="17" borderId="0" xfId="3" applyFill="1" applyBorder="1"/>
    <xf numFmtId="0" fontId="47" fillId="17" borderId="0" xfId="2" applyFont="1" applyFill="1" applyBorder="1" applyAlignment="1" applyProtection="1">
      <alignment horizontal="center" vertical="center"/>
      <protection locked="0"/>
    </xf>
    <xf numFmtId="167" fontId="37" fillId="17" borderId="0" xfId="3" applyNumberFormat="1" applyFont="1" applyFill="1" applyBorder="1" applyAlignment="1" applyProtection="1">
      <alignment horizontal="center" vertical="center"/>
    </xf>
    <xf numFmtId="9" fontId="1" fillId="0" borderId="22" xfId="6" applyFont="1" applyBorder="1" applyProtection="1">
      <protection locked="0"/>
    </xf>
    <xf numFmtId="9" fontId="56" fillId="0" borderId="22" xfId="3" applyNumberFormat="1" applyFont="1" applyBorder="1" applyProtection="1">
      <protection locked="0"/>
    </xf>
    <xf numFmtId="0" fontId="40" fillId="0" borderId="0" xfId="3" quotePrefix="1" applyProtection="1">
      <protection locked="0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" fontId="7" fillId="11" borderId="53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6" fontId="7" fillId="12" borderId="22" xfId="0" quotePrefix="1" applyNumberFormat="1" applyFont="1" applyFill="1" applyBorder="1" applyAlignment="1">
      <alignment horizontal="center" vertical="center"/>
    </xf>
    <xf numFmtId="0" fontId="7" fillId="12" borderId="22" xfId="0" quotePrefix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63" xfId="0" applyFont="1" applyFill="1" applyBorder="1" applyAlignment="1">
      <alignment horizontal="center" vertical="center" textRotation="180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</xf>
    <xf numFmtId="0" fontId="33" fillId="0" borderId="63" xfId="0" applyFont="1" applyFill="1" applyBorder="1" applyAlignment="1" applyProtection="1">
      <alignment horizontal="center" vertical="center"/>
    </xf>
    <xf numFmtId="0" fontId="33" fillId="0" borderId="64" xfId="0" applyFont="1" applyFill="1" applyBorder="1" applyAlignment="1" applyProtection="1">
      <alignment horizontal="center" vertical="center"/>
    </xf>
    <xf numFmtId="0" fontId="5" fillId="11" borderId="65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4" xfId="0" quotePrefix="1" applyNumberFormat="1" applyFont="1" applyFill="1" applyBorder="1" applyAlignment="1">
      <alignment horizontal="center" vertical="center"/>
    </xf>
    <xf numFmtId="0" fontId="55" fillId="18" borderId="84" xfId="3" applyFont="1" applyFill="1" applyBorder="1" applyAlignment="1" applyProtection="1">
      <alignment horizontal="left" vertical="top" wrapText="1"/>
    </xf>
    <xf numFmtId="0" fontId="55" fillId="18" borderId="83" xfId="3" applyFont="1" applyFill="1" applyBorder="1" applyAlignment="1" applyProtection="1">
      <alignment horizontal="left" vertical="top" wrapText="1"/>
    </xf>
    <xf numFmtId="0" fontId="55" fillId="18" borderId="81" xfId="3" applyFont="1" applyFill="1" applyBorder="1" applyAlignment="1" applyProtection="1">
      <alignment horizontal="left" vertical="top" wrapText="1"/>
    </xf>
    <xf numFmtId="0" fontId="55" fillId="18" borderId="0" xfId="3" applyFont="1" applyFill="1" applyBorder="1" applyAlignment="1" applyProtection="1">
      <alignment horizontal="left" vertical="top" wrapText="1"/>
    </xf>
    <xf numFmtId="0" fontId="21" fillId="18" borderId="83" xfId="3" applyFont="1" applyFill="1" applyBorder="1" applyAlignment="1" applyProtection="1">
      <alignment horizontal="right" vertical="center"/>
    </xf>
    <xf numFmtId="0" fontId="21" fillId="18" borderId="82" xfId="3" applyFont="1" applyFill="1" applyBorder="1" applyAlignment="1" applyProtection="1">
      <alignment horizontal="right" vertical="center"/>
    </xf>
    <xf numFmtId="0" fontId="21" fillId="18" borderId="0" xfId="3" applyFont="1" applyFill="1" applyBorder="1" applyAlignment="1" applyProtection="1">
      <alignment horizontal="right" vertical="center"/>
    </xf>
    <xf numFmtId="0" fontId="21" fillId="18" borderId="80" xfId="3" applyFont="1" applyFill="1" applyBorder="1" applyAlignment="1" applyProtection="1">
      <alignment horizontal="right" vertical="center"/>
    </xf>
    <xf numFmtId="168" fontId="54" fillId="17" borderId="84" xfId="3" applyNumberFormat="1" applyFont="1" applyFill="1" applyBorder="1" applyAlignment="1" applyProtection="1">
      <alignment horizontal="center" vertical="center"/>
    </xf>
    <xf numFmtId="168" fontId="54" fillId="17" borderId="83" xfId="3" applyNumberFormat="1" applyFont="1" applyFill="1" applyBorder="1" applyAlignment="1" applyProtection="1">
      <alignment horizontal="center" vertical="center"/>
    </xf>
    <xf numFmtId="168" fontId="54" fillId="17" borderId="82" xfId="3" applyNumberFormat="1" applyFont="1" applyFill="1" applyBorder="1" applyAlignment="1" applyProtection="1">
      <alignment horizontal="center" vertical="center"/>
    </xf>
    <xf numFmtId="168" fontId="54" fillId="17" borderId="81" xfId="3" applyNumberFormat="1" applyFont="1" applyFill="1" applyBorder="1" applyAlignment="1" applyProtection="1">
      <alignment horizontal="center" vertical="center"/>
    </xf>
    <xf numFmtId="168" fontId="54" fillId="17" borderId="0" xfId="3" applyNumberFormat="1" applyFont="1" applyFill="1" applyBorder="1" applyAlignment="1" applyProtection="1">
      <alignment horizontal="center" vertical="center"/>
    </xf>
    <xf numFmtId="168" fontId="54" fillId="17" borderId="80" xfId="3" applyNumberFormat="1" applyFont="1" applyFill="1" applyBorder="1" applyAlignment="1" applyProtection="1">
      <alignment horizontal="center" vertical="center"/>
    </xf>
    <xf numFmtId="168" fontId="54" fillId="17" borderId="79" xfId="3" applyNumberFormat="1" applyFont="1" applyFill="1" applyBorder="1" applyAlignment="1" applyProtection="1">
      <alignment horizontal="center" vertical="center"/>
    </xf>
    <xf numFmtId="168" fontId="54" fillId="17" borderId="78" xfId="3" applyNumberFormat="1" applyFont="1" applyFill="1" applyBorder="1" applyAlignment="1" applyProtection="1">
      <alignment horizontal="center" vertical="center"/>
    </xf>
    <xf numFmtId="168" fontId="54" fillId="17" borderId="77" xfId="3" applyNumberFormat="1" applyFont="1" applyFill="1" applyBorder="1" applyAlignment="1" applyProtection="1">
      <alignment horizontal="center" vertical="center"/>
    </xf>
    <xf numFmtId="0" fontId="55" fillId="18" borderId="81" xfId="3" applyFont="1" applyFill="1" applyBorder="1" applyAlignment="1" applyProtection="1">
      <alignment horizontal="left" vertical="center"/>
    </xf>
    <xf numFmtId="0" fontId="55" fillId="18" borderId="0" xfId="3" applyFont="1" applyFill="1" applyBorder="1" applyAlignment="1" applyProtection="1">
      <alignment horizontal="left" vertical="center"/>
    </xf>
    <xf numFmtId="167" fontId="37" fillId="17" borderId="0" xfId="3" applyNumberFormat="1" applyFont="1" applyFill="1" applyBorder="1" applyAlignment="1" applyProtection="1">
      <alignment horizontal="center" vertical="center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7" borderId="0" xfId="3" applyFont="1" applyFill="1" applyBorder="1" applyAlignment="1" applyProtection="1">
      <alignment horizontal="left" vertical="center" textRotation="90"/>
    </xf>
    <xf numFmtId="0" fontId="45" fillId="17" borderId="0" xfId="3" applyFont="1" applyFill="1" applyBorder="1" applyAlignment="1" applyProtection="1">
      <alignment horizontal="right" vertical="center" textRotation="90"/>
    </xf>
    <xf numFmtId="0" fontId="45" fillId="17" borderId="0" xfId="3" applyFont="1" applyFill="1" applyBorder="1" applyAlignment="1" applyProtection="1">
      <alignment horizontal="center" vertical="center" textRotation="90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103">
    <dxf>
      <numFmt numFmtId="19" formatCode="m/d/yyyy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215</c:v>
                </c:pt>
                <c:pt idx="1">
                  <c:v>230</c:v>
                </c:pt>
                <c:pt idx="2">
                  <c:v>112</c:v>
                </c:pt>
                <c:pt idx="3">
                  <c:v>200</c:v>
                </c:pt>
                <c:pt idx="4">
                  <c:v>215</c:v>
                </c:pt>
                <c:pt idx="5">
                  <c:v>66</c:v>
                </c:pt>
                <c:pt idx="6">
                  <c:v>120</c:v>
                </c:pt>
                <c:pt idx="7">
                  <c:v>215</c:v>
                </c:pt>
                <c:pt idx="8">
                  <c:v>159</c:v>
                </c:pt>
                <c:pt idx="9">
                  <c:v>220</c:v>
                </c:pt>
                <c:pt idx="10">
                  <c:v>48</c:v>
                </c:pt>
                <c:pt idx="11">
                  <c:v>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105.88235294117646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180</c:v>
                </c:pt>
                <c:pt idx="1">
                  <c:v>100</c:v>
                </c:pt>
                <c:pt idx="2">
                  <c:v>220</c:v>
                </c:pt>
                <c:pt idx="3">
                  <c:v>85</c:v>
                </c:pt>
                <c:pt idx="4">
                  <c:v>100</c:v>
                </c:pt>
                <c:pt idx="5">
                  <c:v>155</c:v>
                </c:pt>
                <c:pt idx="6">
                  <c:v>225</c:v>
                </c:pt>
                <c:pt idx="7">
                  <c:v>220</c:v>
                </c:pt>
                <c:pt idx="8">
                  <c:v>120</c:v>
                </c:pt>
                <c:pt idx="9">
                  <c:v>80</c:v>
                </c:pt>
                <c:pt idx="10">
                  <c:v>240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(2)'!$D$7:$D$15</c:f>
              <c:numCache>
                <c:formatCode>0</c:formatCode>
                <c:ptCount val="9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6-4125-8220-DE1F914A2AF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(2)'!$H$7:$H$15</c:f>
              <c:numCache>
                <c:formatCode>0</c:formatCode>
                <c:ptCount val="9"/>
                <c:pt idx="0">
                  <c:v>215</c:v>
                </c:pt>
                <c:pt idx="1">
                  <c:v>230</c:v>
                </c:pt>
                <c:pt idx="2">
                  <c:v>112</c:v>
                </c:pt>
                <c:pt idx="3">
                  <c:v>200</c:v>
                </c:pt>
                <c:pt idx="4">
                  <c:v>215</c:v>
                </c:pt>
                <c:pt idx="5">
                  <c:v>66</c:v>
                </c:pt>
                <c:pt idx="6">
                  <c:v>120</c:v>
                </c:pt>
                <c:pt idx="7">
                  <c:v>215</c:v>
                </c:pt>
                <c:pt idx="8">
                  <c:v>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6-4125-8220-DE1F914A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(2)'!$D$17:$D$24</c:f>
              <c:numCache>
                <c:formatCode>0</c:formatCode>
                <c:ptCount val="8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105.88235294117646</c:v>
                </c:pt>
                <c:pt idx="6">
                  <c:v>211.76470588235293</c:v>
                </c:pt>
                <c:pt idx="7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F-47BA-83C1-8938D6163C9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(2)'!$H$17:$H$24</c:f>
              <c:numCache>
                <c:formatCode>0</c:formatCode>
                <c:ptCount val="8"/>
                <c:pt idx="0">
                  <c:v>220</c:v>
                </c:pt>
                <c:pt idx="1">
                  <c:v>48</c:v>
                </c:pt>
                <c:pt idx="2">
                  <c:v>178</c:v>
                </c:pt>
                <c:pt idx="3">
                  <c:v>180</c:v>
                </c:pt>
                <c:pt idx="4">
                  <c:v>100</c:v>
                </c:pt>
                <c:pt idx="5">
                  <c:v>220</c:v>
                </c:pt>
                <c:pt idx="6">
                  <c:v>85</c:v>
                </c:pt>
                <c:pt idx="7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F-47BA-83C1-8938D6163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(2)'!$D$26:$D$32</c:f>
              <c:numCache>
                <c:formatCode>0</c:formatCode>
                <c:ptCount val="7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CDE-AD33-7B27B080CA1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(2)'!$H$26:$H$32</c:f>
              <c:numCache>
                <c:formatCode>0</c:formatCode>
                <c:ptCount val="7"/>
                <c:pt idx="0">
                  <c:v>155</c:v>
                </c:pt>
                <c:pt idx="1">
                  <c:v>225</c:v>
                </c:pt>
                <c:pt idx="2">
                  <c:v>220</c:v>
                </c:pt>
                <c:pt idx="3">
                  <c:v>120</c:v>
                </c:pt>
                <c:pt idx="4">
                  <c:v>80</c:v>
                </c:pt>
                <c:pt idx="5">
                  <c:v>240</c:v>
                </c:pt>
                <c:pt idx="6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B-4CDE-AD33-7B27B08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(3)'!$D$7:$D$12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A-40AA-BF7A-F36981AA355E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(3)'!$H$7:$H$12</c:f>
              <c:numCache>
                <c:formatCode>0</c:formatCode>
                <c:ptCount val="6"/>
                <c:pt idx="0">
                  <c:v>215</c:v>
                </c:pt>
                <c:pt idx="1">
                  <c:v>230</c:v>
                </c:pt>
                <c:pt idx="2">
                  <c:v>112</c:v>
                </c:pt>
                <c:pt idx="3">
                  <c:v>200</c:v>
                </c:pt>
                <c:pt idx="4">
                  <c:v>215</c:v>
                </c:pt>
                <c:pt idx="5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A-40AA-BF7A-F36981AA3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(3)'!$D$14:$D$19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C-4F8C-8B58-8D729D383A0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(3)'!$H$14:$H$19</c:f>
              <c:numCache>
                <c:formatCode>0</c:formatCode>
                <c:ptCount val="6"/>
                <c:pt idx="0">
                  <c:v>120</c:v>
                </c:pt>
                <c:pt idx="1">
                  <c:v>215</c:v>
                </c:pt>
                <c:pt idx="2">
                  <c:v>159</c:v>
                </c:pt>
                <c:pt idx="3">
                  <c:v>220</c:v>
                </c:pt>
                <c:pt idx="4">
                  <c:v>48</c:v>
                </c:pt>
                <c:pt idx="5">
                  <c:v>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DC-4F8C-8B58-8D729D38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(3)'!$D$21:$D$26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F-440B-9341-1077E7EBC2D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(3)'!$H$21:$H$26</c:f>
              <c:numCache>
                <c:formatCode>0</c:formatCode>
                <c:ptCount val="6"/>
                <c:pt idx="0">
                  <c:v>180</c:v>
                </c:pt>
                <c:pt idx="1">
                  <c:v>100</c:v>
                </c:pt>
                <c:pt idx="2">
                  <c:v>220</c:v>
                </c:pt>
                <c:pt idx="3">
                  <c:v>85</c:v>
                </c:pt>
                <c:pt idx="4">
                  <c:v>100</c:v>
                </c:pt>
                <c:pt idx="5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F-440B-9341-1077E7EB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(3)'!$D$28:$D$33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B-460C-90AD-A2A9FCA0BCE7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(3)'!$H$28:$H$33</c:f>
              <c:numCache>
                <c:formatCode>0</c:formatCode>
                <c:ptCount val="6"/>
                <c:pt idx="0">
                  <c:v>225</c:v>
                </c:pt>
                <c:pt idx="1">
                  <c:v>220</c:v>
                </c:pt>
                <c:pt idx="2">
                  <c:v>120</c:v>
                </c:pt>
                <c:pt idx="3">
                  <c:v>80</c:v>
                </c:pt>
                <c:pt idx="4">
                  <c:v>240</c:v>
                </c:pt>
                <c:pt idx="5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B-460C-90AD-A2A9FCA0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OEE!$AE$8:$BJ$8</c:f>
              <c:numCache>
                <c:formatCode>0%</c:formatCode>
                <c:ptCount val="32"/>
                <c:pt idx="0">
                  <c:v>0</c:v>
                </c:pt>
                <c:pt idx="1">
                  <c:v>0.17019999999999999</c:v>
                </c:pt>
                <c:pt idx="2">
                  <c:v>5.5199999999999999E-2</c:v>
                </c:pt>
                <c:pt idx="3">
                  <c:v>0.1457</c:v>
                </c:pt>
                <c:pt idx="4">
                  <c:v>0</c:v>
                </c:pt>
                <c:pt idx="5">
                  <c:v>0.16830000000000001</c:v>
                </c:pt>
                <c:pt idx="6">
                  <c:v>0.6593</c:v>
                </c:pt>
                <c:pt idx="7">
                  <c:v>0.1971</c:v>
                </c:pt>
                <c:pt idx="8">
                  <c:v>0.1363</c:v>
                </c:pt>
                <c:pt idx="9">
                  <c:v>0.1971</c:v>
                </c:pt>
                <c:pt idx="10">
                  <c:v>0.1072</c:v>
                </c:pt>
                <c:pt idx="11">
                  <c:v>0.77180000000000004</c:v>
                </c:pt>
                <c:pt idx="12">
                  <c:v>0.67290000000000005</c:v>
                </c:pt>
                <c:pt idx="13">
                  <c:v>0</c:v>
                </c:pt>
                <c:pt idx="14">
                  <c:v>0</c:v>
                </c:pt>
                <c:pt idx="15">
                  <c:v>0.3367</c:v>
                </c:pt>
                <c:pt idx="16">
                  <c:v>0.2099</c:v>
                </c:pt>
                <c:pt idx="17">
                  <c:v>0</c:v>
                </c:pt>
                <c:pt idx="18">
                  <c:v>0.23849999999999999</c:v>
                </c:pt>
                <c:pt idx="19">
                  <c:v>0.37259999999999999</c:v>
                </c:pt>
                <c:pt idx="20">
                  <c:v>7.5499999999999998E-2</c:v>
                </c:pt>
                <c:pt idx="21">
                  <c:v>0</c:v>
                </c:pt>
                <c:pt idx="22">
                  <c:v>0.37540000000000001</c:v>
                </c:pt>
                <c:pt idx="23">
                  <c:v>0.14099999999999999</c:v>
                </c:pt>
                <c:pt idx="24">
                  <c:v>9.7900000000000001E-2</c:v>
                </c:pt>
                <c:pt idx="25">
                  <c:v>0.28949999999999998</c:v>
                </c:pt>
                <c:pt idx="26">
                  <c:v>0.35499999999999998</c:v>
                </c:pt>
                <c:pt idx="27">
                  <c:v>0</c:v>
                </c:pt>
                <c:pt idx="28">
                  <c:v>0</c:v>
                </c:pt>
                <c:pt idx="29">
                  <c:v>0.28949999999999998</c:v>
                </c:pt>
                <c:pt idx="30">
                  <c:v>0.14680000000000001</c:v>
                </c:pt>
                <c:pt idx="31">
                  <c:v>0.26997391304347834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OEE!$AE$9:$BJ$9</c:f>
              <c:numCache>
                <c:formatCode>0%</c:formatCode>
                <c:ptCount val="32"/>
                <c:pt idx="0">
                  <c:v>0</c:v>
                </c:pt>
                <c:pt idx="1">
                  <c:v>2.5899999999999999E-2</c:v>
                </c:pt>
                <c:pt idx="2">
                  <c:v>0</c:v>
                </c:pt>
                <c:pt idx="3">
                  <c:v>1.6400000000000001E-2</c:v>
                </c:pt>
                <c:pt idx="4">
                  <c:v>0</c:v>
                </c:pt>
                <c:pt idx="5">
                  <c:v>9.1499999999999998E-2</c:v>
                </c:pt>
                <c:pt idx="6">
                  <c:v>0</c:v>
                </c:pt>
                <c:pt idx="7">
                  <c:v>7.1999999999999998E-3</c:v>
                </c:pt>
                <c:pt idx="8">
                  <c:v>3.7900000000000003E-2</c:v>
                </c:pt>
                <c:pt idx="9">
                  <c:v>6.3E-3</c:v>
                </c:pt>
                <c:pt idx="10">
                  <c:v>0</c:v>
                </c:pt>
                <c:pt idx="11">
                  <c:v>1.6000000000000001E-3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4.4999999999999997E-3</c:v>
                </c:pt>
                <c:pt idx="17">
                  <c:v>0</c:v>
                </c:pt>
                <c:pt idx="18">
                  <c:v>0</c:v>
                </c:pt>
                <c:pt idx="19">
                  <c:v>3.0200000000000001E-2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0.1242</c:v>
                </c:pt>
                <c:pt idx="24">
                  <c:v>7.1999999999999998E-3</c:v>
                </c:pt>
                <c:pt idx="25">
                  <c:v>5.7000000000000002E-3</c:v>
                </c:pt>
                <c:pt idx="26">
                  <c:v>1.6400000000000001E-2</c:v>
                </c:pt>
                <c:pt idx="27">
                  <c:v>0</c:v>
                </c:pt>
                <c:pt idx="28">
                  <c:v>0</c:v>
                </c:pt>
                <c:pt idx="29">
                  <c:v>5.5999999999999999E-3</c:v>
                </c:pt>
                <c:pt idx="30">
                  <c:v>7.6E-3</c:v>
                </c:pt>
                <c:pt idx="31">
                  <c:v>2.588E-2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OEE!$AB$10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OEE!$AE$10:$BJ$10</c:f>
              <c:numCache>
                <c:formatCode>0%</c:formatCode>
                <c:ptCount val="32"/>
                <c:pt idx="0">
                  <c:v>0</c:v>
                </c:pt>
                <c:pt idx="1">
                  <c:v>8.2100000000000006E-2</c:v>
                </c:pt>
                <c:pt idx="2">
                  <c:v>0.42730000000000001</c:v>
                </c:pt>
                <c:pt idx="3">
                  <c:v>0</c:v>
                </c:pt>
                <c:pt idx="4">
                  <c:v>8.3299999999999999E-2</c:v>
                </c:pt>
                <c:pt idx="5">
                  <c:v>4.3799999999999999E-2</c:v>
                </c:pt>
                <c:pt idx="6">
                  <c:v>7.6799999999999993E-2</c:v>
                </c:pt>
                <c:pt idx="7">
                  <c:v>0</c:v>
                </c:pt>
                <c:pt idx="8">
                  <c:v>0.22359999999999999</c:v>
                </c:pt>
                <c:pt idx="9">
                  <c:v>6.5000000000000002E-2</c:v>
                </c:pt>
                <c:pt idx="10">
                  <c:v>1.6799999999999999E-2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6.3600000000000004E-2</c:v>
                </c:pt>
                <c:pt idx="17">
                  <c:v>0</c:v>
                </c:pt>
                <c:pt idx="18">
                  <c:v>0.1207</c:v>
                </c:pt>
                <c:pt idx="19">
                  <c:v>0.29559999999999997</c:v>
                </c:pt>
                <c:pt idx="20">
                  <c:v>0</c:v>
                </c:pt>
                <c:pt idx="21">
                  <c:v>0</c:v>
                </c:pt>
                <c:pt idx="22">
                  <c:v>0.1968</c:v>
                </c:pt>
                <c:pt idx="23">
                  <c:v>0.10349999999999999</c:v>
                </c:pt>
                <c:pt idx="24">
                  <c:v>3.6200000000000003E-2</c:v>
                </c:pt>
                <c:pt idx="25">
                  <c:v>0</c:v>
                </c:pt>
                <c:pt idx="26">
                  <c:v>0.31430000000000002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0.151</c:v>
                </c:pt>
                <c:pt idx="31">
                  <c:v>0.14377499999999999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OEE!$AB$11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OEE!$AE$11:$BJ$11</c:f>
              <c:numCache>
                <c:formatCode>0%</c:formatCode>
                <c:ptCount val="32"/>
                <c:pt idx="0">
                  <c:v>0</c:v>
                </c:pt>
                <c:pt idx="1">
                  <c:v>0.59209999999999996</c:v>
                </c:pt>
                <c:pt idx="2">
                  <c:v>0.31940000000000002</c:v>
                </c:pt>
                <c:pt idx="3">
                  <c:v>0.72250000000000003</c:v>
                </c:pt>
                <c:pt idx="4">
                  <c:v>0.91669999999999996</c:v>
                </c:pt>
                <c:pt idx="5">
                  <c:v>0.63670000000000004</c:v>
                </c:pt>
                <c:pt idx="6">
                  <c:v>0.20480000000000001</c:v>
                </c:pt>
                <c:pt idx="7">
                  <c:v>0.36170000000000002</c:v>
                </c:pt>
                <c:pt idx="8">
                  <c:v>0.45800000000000002</c:v>
                </c:pt>
                <c:pt idx="9">
                  <c:v>0.66910000000000003</c:v>
                </c:pt>
                <c:pt idx="10">
                  <c:v>0.81200000000000006</c:v>
                </c:pt>
                <c:pt idx="11">
                  <c:v>7.3200000000000001E-2</c:v>
                </c:pt>
                <c:pt idx="12">
                  <c:v>0.19270000000000001</c:v>
                </c:pt>
                <c:pt idx="13">
                  <c:v>0</c:v>
                </c:pt>
                <c:pt idx="14">
                  <c:v>0</c:v>
                </c:pt>
                <c:pt idx="15">
                  <c:v>0.54090000000000005</c:v>
                </c:pt>
                <c:pt idx="16">
                  <c:v>0.44950000000000001</c:v>
                </c:pt>
                <c:pt idx="17">
                  <c:v>0</c:v>
                </c:pt>
                <c:pt idx="18">
                  <c:v>0.33489999999999998</c:v>
                </c:pt>
                <c:pt idx="19">
                  <c:v>6.0299999999999999E-2</c:v>
                </c:pt>
                <c:pt idx="20">
                  <c:v>0</c:v>
                </c:pt>
                <c:pt idx="21">
                  <c:v>0</c:v>
                </c:pt>
                <c:pt idx="22">
                  <c:v>0.29060000000000002</c:v>
                </c:pt>
                <c:pt idx="23">
                  <c:v>0.32079999999999997</c:v>
                </c:pt>
                <c:pt idx="24">
                  <c:v>0.71389999999999998</c:v>
                </c:pt>
                <c:pt idx="25">
                  <c:v>0.61060000000000003</c:v>
                </c:pt>
                <c:pt idx="26">
                  <c:v>6.83E-2</c:v>
                </c:pt>
                <c:pt idx="27">
                  <c:v>0</c:v>
                </c:pt>
                <c:pt idx="28">
                  <c:v>0</c:v>
                </c:pt>
                <c:pt idx="29">
                  <c:v>0.61109999999999998</c:v>
                </c:pt>
                <c:pt idx="30">
                  <c:v>0.38</c:v>
                </c:pt>
                <c:pt idx="31">
                  <c:v>0.44955652173913058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OEE!$AB$12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OEE!$AE$12:$BJ$12</c:f>
              <c:numCache>
                <c:formatCode>0%</c:formatCode>
                <c:ptCount val="32"/>
                <c:pt idx="0">
                  <c:v>0</c:v>
                </c:pt>
                <c:pt idx="1">
                  <c:v>0.12970000000000001</c:v>
                </c:pt>
                <c:pt idx="2">
                  <c:v>0.19819999999999999</c:v>
                </c:pt>
                <c:pt idx="3">
                  <c:v>0.11550000000000001</c:v>
                </c:pt>
                <c:pt idx="4">
                  <c:v>0</c:v>
                </c:pt>
                <c:pt idx="5">
                  <c:v>5.9700000000000003E-2</c:v>
                </c:pt>
                <c:pt idx="6">
                  <c:v>5.91E-2</c:v>
                </c:pt>
                <c:pt idx="7">
                  <c:v>0.434</c:v>
                </c:pt>
                <c:pt idx="8">
                  <c:v>0.14419999999999999</c:v>
                </c:pt>
                <c:pt idx="9">
                  <c:v>6.25E-2</c:v>
                </c:pt>
                <c:pt idx="10">
                  <c:v>6.4000000000000001E-2</c:v>
                </c:pt>
                <c:pt idx="11">
                  <c:v>0.15340000000000001</c:v>
                </c:pt>
                <c:pt idx="12">
                  <c:v>0.13439999999999999</c:v>
                </c:pt>
                <c:pt idx="13">
                  <c:v>0</c:v>
                </c:pt>
                <c:pt idx="14">
                  <c:v>0</c:v>
                </c:pt>
                <c:pt idx="15">
                  <c:v>0.1225</c:v>
                </c:pt>
                <c:pt idx="16">
                  <c:v>0.27239999999999998</c:v>
                </c:pt>
                <c:pt idx="17">
                  <c:v>0</c:v>
                </c:pt>
                <c:pt idx="18">
                  <c:v>0.30590000000000001</c:v>
                </c:pt>
                <c:pt idx="19">
                  <c:v>0.24129999999999999</c:v>
                </c:pt>
                <c:pt idx="20">
                  <c:v>0.92449999999999999</c:v>
                </c:pt>
                <c:pt idx="21">
                  <c:v>0</c:v>
                </c:pt>
                <c:pt idx="22">
                  <c:v>0.13730000000000001</c:v>
                </c:pt>
                <c:pt idx="23">
                  <c:v>0.3105</c:v>
                </c:pt>
                <c:pt idx="24">
                  <c:v>0.1447</c:v>
                </c:pt>
                <c:pt idx="25">
                  <c:v>9.4200000000000006E-2</c:v>
                </c:pt>
                <c:pt idx="26">
                  <c:v>0.246</c:v>
                </c:pt>
                <c:pt idx="27">
                  <c:v>0</c:v>
                </c:pt>
                <c:pt idx="28">
                  <c:v>0</c:v>
                </c:pt>
                <c:pt idx="29">
                  <c:v>9.3700000000000006E-2</c:v>
                </c:pt>
                <c:pt idx="30">
                  <c:v>0.31459999999999999</c:v>
                </c:pt>
                <c:pt idx="31">
                  <c:v>0.2070565217391305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OEE!$AB$13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OEE!$AE$13:$BJ$13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OEE!$AB$14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OEE!$AE$14:$BJ$14</c:f>
              <c:numCache>
                <c:formatCode>0%</c:formatCode>
                <c:ptCount val="3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OEE!$AB$18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OEE!$AE$18:$AS$18</c:f>
              <c:numCache>
                <c:formatCode>0%</c:formatCode>
                <c:ptCount val="15"/>
                <c:pt idx="0">
                  <c:v>0.59499999999999997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</c:v>
                </c:pt>
                <c:pt idx="10">
                  <c:v>0.27</c:v>
                </c:pt>
                <c:pt idx="11">
                  <c:v>0.14000000000000001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OEE!$AB$19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OEE!$AE$19:$AS$19</c:f>
              <c:numCache>
                <c:formatCode>0%</c:formatCode>
                <c:ptCount val="1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0.03</c:v>
                </c:pt>
                <c:pt idx="11">
                  <c:v>0.01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OEE!$AB$20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OEE!$AE$20:$AS$20</c:f>
              <c:numCache>
                <c:formatCode>0%</c:formatCode>
                <c:ptCount val="15"/>
                <c:pt idx="0">
                  <c:v>0.21299999999999999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0.65</c:v>
                </c:pt>
                <c:pt idx="10">
                  <c:v>0.14000000000000001</c:v>
                </c:pt>
                <c:pt idx="11">
                  <c:v>0.09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OEE!$AB$21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OEE!$AE$21:$AS$21</c:f>
              <c:numCache>
                <c:formatCode>0%</c:formatCode>
                <c:ptCount val="15"/>
                <c:pt idx="0">
                  <c:v>3.5999999999999997E-2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</c:v>
                </c:pt>
                <c:pt idx="10">
                  <c:v>0.44</c:v>
                </c:pt>
                <c:pt idx="11">
                  <c:v>0.51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OEE!$AB$22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OEE!$AE$22:$AS$22</c:f>
              <c:numCache>
                <c:formatCode>0%</c:formatCode>
                <c:ptCount val="15"/>
                <c:pt idx="0">
                  <c:v>6.0000000000000001E-3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0.08</c:v>
                </c:pt>
                <c:pt idx="10">
                  <c:v>0.2</c:v>
                </c:pt>
                <c:pt idx="11">
                  <c:v>0.25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OEE!$AB$23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OEE!$AE$23:$AS$23</c:f>
              <c:numCache>
                <c:formatCode>0%</c:formatCode>
                <c:ptCount val="15"/>
                <c:pt idx="0">
                  <c:v>4.9000000000000002E-2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OEE!$AB$24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OEE!$AG$19:$AU$20</c:f>
              <c:multiLvlStrCache>
                <c:ptCount val="11"/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65%</c:v>
                  </c:pt>
                  <c:pt idx="8">
                    <c:v>14%</c:v>
                  </c:pt>
                  <c:pt idx="9">
                    <c:v>9%</c:v>
                  </c:pt>
                  <c:pt idx="10">
                    <c:v>0%</c:v>
                  </c:pt>
                </c:lvl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3%</c:v>
                  </c:pt>
                  <c:pt idx="9">
                    <c:v>1%</c:v>
                  </c:pt>
                  <c:pt idx="10">
                    <c:v>0%</c:v>
                  </c:pt>
                </c:lvl>
              </c:multiLvlStrCache>
            </c:multiLvlStrRef>
          </c:cat>
          <c:val>
            <c:numRef>
              <c:f>OEE!$AE$24:$AS$24</c:f>
              <c:numCache>
                <c:formatCode>0%</c:formatCode>
                <c:ptCount val="15"/>
                <c:pt idx="1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OEE!$AB$28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OEE!$AE$28:$AJ$28</c:f>
              <c:numCache>
                <c:formatCode>0%</c:formatCode>
                <c:ptCount val="6"/>
                <c:pt idx="0">
                  <c:v>0.23263333333333336</c:v>
                </c:pt>
                <c:pt idx="1">
                  <c:v>0.37706000000000006</c:v>
                </c:pt>
                <c:pt idx="2">
                  <c:v>0.24663999999999997</c:v>
                </c:pt>
                <c:pt idx="3">
                  <c:v>0.25175999999999998</c:v>
                </c:pt>
                <c:pt idx="4">
                  <c:v>0.21815000000000001</c:v>
                </c:pt>
                <c:pt idx="5">
                  <c:v>0.26524866666666669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OEE!$AB$29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OEE!$AE$29:$AJ$29</c:f>
              <c:numCache>
                <c:formatCode>0%</c:formatCode>
                <c:ptCount val="6"/>
                <c:pt idx="0">
                  <c:v>3.5250000000000004E-2</c:v>
                </c:pt>
                <c:pt idx="1">
                  <c:v>1.5266666666666666E-2</c:v>
                </c:pt>
                <c:pt idx="2">
                  <c:v>1.7350000000000001E-2</c:v>
                </c:pt>
                <c:pt idx="3">
                  <c:v>3.8375000000000006E-2</c:v>
                </c:pt>
                <c:pt idx="4">
                  <c:v>6.6E-3</c:v>
                </c:pt>
                <c:pt idx="5">
                  <c:v>2.2568333333333336E-2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OEE!$AB$30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OEE!$AE$30:$AJ$30</c:f>
              <c:numCache>
                <c:formatCode>0%</c:formatCode>
                <c:ptCount val="6"/>
                <c:pt idx="0">
                  <c:v>0.14266000000000001</c:v>
                </c:pt>
                <c:pt idx="1">
                  <c:v>0.10179999999999999</c:v>
                </c:pt>
                <c:pt idx="2">
                  <c:v>0.15996666666666667</c:v>
                </c:pt>
                <c:pt idx="3">
                  <c:v>0.16270000000000001</c:v>
                </c:pt>
                <c:pt idx="4">
                  <c:v>0.151</c:v>
                </c:pt>
                <c:pt idx="5">
                  <c:v>0.14362533333333335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OEE!$AB$31:$AC$31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OEE!$AE$31:$AJ$31</c:f>
              <c:numCache>
                <c:formatCode>0%</c:formatCode>
                <c:ptCount val="6"/>
                <c:pt idx="0">
                  <c:v>0.53627142857142862</c:v>
                </c:pt>
                <c:pt idx="1">
                  <c:v>0.441</c:v>
                </c:pt>
                <c:pt idx="2">
                  <c:v>0.34639999999999999</c:v>
                </c:pt>
                <c:pt idx="3">
                  <c:v>0.40083999999999997</c:v>
                </c:pt>
                <c:pt idx="4">
                  <c:v>0.49554999999999999</c:v>
                </c:pt>
                <c:pt idx="5">
                  <c:v>0.44401228571428575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OEE!$AB$32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OEE!$AE$32:$AJ$32</c:f>
              <c:numCache>
                <c:formatCode>0%</c:formatCode>
                <c:ptCount val="6"/>
                <c:pt idx="0">
                  <c:v>0.16603333333333334</c:v>
                </c:pt>
                <c:pt idx="1">
                  <c:v>0.11169999999999999</c:v>
                </c:pt>
                <c:pt idx="2">
                  <c:v>0.37331999999999999</c:v>
                </c:pt>
                <c:pt idx="3">
                  <c:v>0.18654000000000001</c:v>
                </c:pt>
                <c:pt idx="4">
                  <c:v>0.20415</c:v>
                </c:pt>
                <c:pt idx="5">
                  <c:v>0.20834866666666665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OEE!$AB$33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OEE!$AE$33:$AJ$33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OEE!$AB$34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OEE!$AE$34:$AJ$34</c:f>
              <c:numCache>
                <c:formatCode>0%</c:formatCode>
                <c:ptCount val="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chart" Target="../charts/chart9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chart" Target="../charts/chart12.xml"/><Relationship Id="rId2" Type="http://schemas.openxmlformats.org/officeDocument/2006/relationships/chart" Target="../charts/chart10.xml"/><Relationship Id="rId1" Type="http://schemas.openxmlformats.org/officeDocument/2006/relationships/image" Target="../media/image8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154515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35</xdr:row>
      <xdr:rowOff>38099</xdr:rowOff>
    </xdr:from>
    <xdr:to>
      <xdr:col>44</xdr:col>
      <xdr:colOff>154515</xdr:colOff>
      <xdr:row>39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374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37</xdr:row>
      <xdr:rowOff>9525</xdr:rowOff>
    </xdr:from>
    <xdr:to>
      <xdr:col>47</xdr:col>
      <xdr:colOff>54472</xdr:colOff>
      <xdr:row>39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737475"/>
          <a:ext cx="97921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34</xdr:row>
      <xdr:rowOff>219075</xdr:rowOff>
    </xdr:from>
    <xdr:to>
      <xdr:col>14</xdr:col>
      <xdr:colOff>9525</xdr:colOff>
      <xdr:row>37</xdr:row>
      <xdr:rowOff>161925</xdr:rowOff>
    </xdr:to>
    <xdr:sp macro="" textlink="">
      <xdr:nvSpPr>
        <xdr:cNvPr id="6" name="TextBox 5"/>
        <xdr:cNvSpPr txBox="1"/>
      </xdr:nvSpPr>
      <xdr:spPr>
        <a:xfrm>
          <a:off x="0" y="74898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36</xdr:row>
      <xdr:rowOff>9525</xdr:rowOff>
    </xdr:from>
    <xdr:to>
      <xdr:col>48</xdr:col>
      <xdr:colOff>1413410</xdr:colOff>
      <xdr:row>39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92425" y="75469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37</xdr:row>
      <xdr:rowOff>95250</xdr:rowOff>
    </xdr:from>
    <xdr:to>
      <xdr:col>13</xdr:col>
      <xdr:colOff>28575</xdr:colOff>
      <xdr:row>39</xdr:row>
      <xdr:rowOff>19050</xdr:rowOff>
    </xdr:to>
    <xdr:sp macro="" textlink="">
      <xdr:nvSpPr>
        <xdr:cNvPr id="8" name="TextBox 7"/>
        <xdr:cNvSpPr txBox="1"/>
      </xdr:nvSpPr>
      <xdr:spPr>
        <a:xfrm>
          <a:off x="19050" y="78232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2520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7188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15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34915" y="1117601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623207</xdr:colOff>
      <xdr:row>15</xdr:row>
      <xdr:rowOff>9071</xdr:rowOff>
    </xdr:from>
    <xdr:to>
      <xdr:col>35</xdr:col>
      <xdr:colOff>39502</xdr:colOff>
      <xdr:row>24</xdr:row>
      <xdr:rowOff>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34</xdr:row>
      <xdr:rowOff>21168</xdr:rowOff>
    </xdr:to>
    <xdr:cxnSp macro="">
      <xdr:nvCxnSpPr>
        <xdr:cNvPr id="18" name="Straight Connector 17"/>
        <xdr:cNvCxnSpPr/>
      </xdr:nvCxnSpPr>
      <xdr:spPr>
        <a:xfrm>
          <a:off x="6292848" y="1128185"/>
          <a:ext cx="0" cy="61637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32</xdr:row>
      <xdr:rowOff>6350</xdr:rowOff>
    </xdr:from>
    <xdr:to>
      <xdr:col>36</xdr:col>
      <xdr:colOff>4962</xdr:colOff>
      <xdr:row>32</xdr:row>
      <xdr:rowOff>6350</xdr:rowOff>
    </xdr:to>
    <xdr:cxnSp macro="">
      <xdr:nvCxnSpPr>
        <xdr:cNvPr id="19" name="Straight Connector 18"/>
        <xdr:cNvCxnSpPr/>
      </xdr:nvCxnSpPr>
      <xdr:spPr>
        <a:xfrm>
          <a:off x="4419600" y="68199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4539</xdr:rowOff>
    </xdr:from>
    <xdr:to>
      <xdr:col>36</xdr:col>
      <xdr:colOff>4962</xdr:colOff>
      <xdr:row>15</xdr:row>
      <xdr:rowOff>4539</xdr:rowOff>
    </xdr:to>
    <xdr:cxnSp macro="">
      <xdr:nvCxnSpPr>
        <xdr:cNvPr id="20" name="Straight Connector 19"/>
        <xdr:cNvCxnSpPr/>
      </xdr:nvCxnSpPr>
      <xdr:spPr>
        <a:xfrm>
          <a:off x="4417786" y="3152325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1" name="Straight Connector 20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928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4" name="TextBox 23"/>
        <xdr:cNvSpPr txBox="1"/>
      </xdr:nvSpPr>
      <xdr:spPr>
        <a:xfrm>
          <a:off x="159861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40</xdr:row>
          <xdr:rowOff>19050</xdr:rowOff>
        </xdr:from>
        <xdr:to>
          <xdr:col>51</xdr:col>
          <xdr:colOff>19050</xdr:colOff>
          <xdr:row>42</xdr:row>
          <xdr:rowOff>63500</xdr:rowOff>
        </xdr:to>
        <xdr:sp macro="" textlink="">
          <xdr:nvSpPr>
            <xdr:cNvPr id="4097" name="btnGuardarOE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600263</xdr:colOff>
      <xdr:row>15</xdr:row>
      <xdr:rowOff>224591</xdr:rowOff>
    </xdr:from>
    <xdr:to>
      <xdr:col>36</xdr:col>
      <xdr:colOff>1975</xdr:colOff>
      <xdr:row>15</xdr:row>
      <xdr:rowOff>224591</xdr:rowOff>
    </xdr:to>
    <xdr:cxnSp macro="">
      <xdr:nvCxnSpPr>
        <xdr:cNvPr id="27" name="Straight Connector 26"/>
        <xdr:cNvCxnSpPr/>
      </xdr:nvCxnSpPr>
      <xdr:spPr>
        <a:xfrm>
          <a:off x="3140263" y="4279520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24</xdr:row>
      <xdr:rowOff>6350</xdr:rowOff>
    </xdr:from>
    <xdr:to>
      <xdr:col>36</xdr:col>
      <xdr:colOff>4962</xdr:colOff>
      <xdr:row>24</xdr:row>
      <xdr:rowOff>6350</xdr:rowOff>
    </xdr:to>
    <xdr:cxnSp macro="">
      <xdr:nvCxnSpPr>
        <xdr:cNvPr id="28" name="Straight Connector 27"/>
        <xdr:cNvCxnSpPr/>
      </xdr:nvCxnSpPr>
      <xdr:spPr>
        <a:xfrm>
          <a:off x="4417786" y="6973207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-1</xdr:colOff>
      <xdr:row>24</xdr:row>
      <xdr:rowOff>9072</xdr:rowOff>
    </xdr:from>
    <xdr:to>
      <xdr:col>35</xdr:col>
      <xdr:colOff>42223</xdr:colOff>
      <xdr:row>32</xdr:row>
      <xdr:rowOff>18143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24</xdr:row>
      <xdr:rowOff>226785</xdr:rowOff>
    </xdr:from>
    <xdr:to>
      <xdr:col>36</xdr:col>
      <xdr:colOff>27641</xdr:colOff>
      <xdr:row>24</xdr:row>
      <xdr:rowOff>226785</xdr:rowOff>
    </xdr:to>
    <xdr:cxnSp macro="">
      <xdr:nvCxnSpPr>
        <xdr:cNvPr id="32" name="Straight Connector 31"/>
        <xdr:cNvCxnSpPr/>
      </xdr:nvCxnSpPr>
      <xdr:spPr>
        <a:xfrm>
          <a:off x="3165929" y="5397499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36</xdr:row>
      <xdr:rowOff>38099</xdr:rowOff>
    </xdr:from>
    <xdr:to>
      <xdr:col>44</xdr:col>
      <xdr:colOff>154515</xdr:colOff>
      <xdr:row>40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7660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38</xdr:row>
      <xdr:rowOff>9525</xdr:rowOff>
    </xdr:from>
    <xdr:to>
      <xdr:col>47</xdr:col>
      <xdr:colOff>54472</xdr:colOff>
      <xdr:row>40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966075"/>
          <a:ext cx="99445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35</xdr:row>
      <xdr:rowOff>219075</xdr:rowOff>
    </xdr:from>
    <xdr:to>
      <xdr:col>14</xdr:col>
      <xdr:colOff>9525</xdr:colOff>
      <xdr:row>38</xdr:row>
      <xdr:rowOff>161925</xdr:rowOff>
    </xdr:to>
    <xdr:sp macro="" textlink="">
      <xdr:nvSpPr>
        <xdr:cNvPr id="6" name="TextBox 5"/>
        <xdr:cNvSpPr txBox="1"/>
      </xdr:nvSpPr>
      <xdr:spPr>
        <a:xfrm>
          <a:off x="0" y="77184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37</xdr:row>
      <xdr:rowOff>9525</xdr:rowOff>
    </xdr:from>
    <xdr:to>
      <xdr:col>48</xdr:col>
      <xdr:colOff>1413410</xdr:colOff>
      <xdr:row>40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44825" y="77755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38</xdr:row>
      <xdr:rowOff>95250</xdr:rowOff>
    </xdr:from>
    <xdr:to>
      <xdr:col>13</xdr:col>
      <xdr:colOff>28575</xdr:colOff>
      <xdr:row>40</xdr:row>
      <xdr:rowOff>19050</xdr:rowOff>
    </xdr:to>
    <xdr:sp macro="" textlink="">
      <xdr:nvSpPr>
        <xdr:cNvPr id="8" name="TextBox 7"/>
        <xdr:cNvSpPr txBox="1"/>
      </xdr:nvSpPr>
      <xdr:spPr>
        <a:xfrm>
          <a:off x="19050" y="80518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4044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8712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63500</xdr:colOff>
      <xdr:row>12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</xdr:colOff>
      <xdr:row>12</xdr:row>
      <xdr:rowOff>12701</xdr:rowOff>
    </xdr:from>
    <xdr:to>
      <xdr:col>35</xdr:col>
      <xdr:colOff>63500</xdr:colOff>
      <xdr:row>18</xdr:row>
      <xdr:rowOff>222251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35</xdr:row>
      <xdr:rowOff>21168</xdr:rowOff>
    </xdr:to>
    <xdr:cxnSp macro="">
      <xdr:nvCxnSpPr>
        <xdr:cNvPr id="17" name="Straight Connector 16"/>
        <xdr:cNvCxnSpPr/>
      </xdr:nvCxnSpPr>
      <xdr:spPr>
        <a:xfrm>
          <a:off x="6292848" y="1128185"/>
          <a:ext cx="0" cy="63923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33</xdr:row>
      <xdr:rowOff>6350</xdr:rowOff>
    </xdr:from>
    <xdr:to>
      <xdr:col>36</xdr:col>
      <xdr:colOff>4962</xdr:colOff>
      <xdr:row>33</xdr:row>
      <xdr:rowOff>6350</xdr:rowOff>
    </xdr:to>
    <xdr:cxnSp macro="">
      <xdr:nvCxnSpPr>
        <xdr:cNvPr id="18" name="Straight Connector 17"/>
        <xdr:cNvCxnSpPr/>
      </xdr:nvCxnSpPr>
      <xdr:spPr>
        <a:xfrm>
          <a:off x="4419600" y="70485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0" name="Straight Connector 19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3" name="TextBox 22"/>
        <xdr:cNvSpPr txBox="1"/>
      </xdr:nvSpPr>
      <xdr:spPr>
        <a:xfrm>
          <a:off x="161385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41</xdr:row>
          <xdr:rowOff>19050</xdr:rowOff>
        </xdr:from>
        <xdr:to>
          <xdr:col>51</xdr:col>
          <xdr:colOff>19050</xdr:colOff>
          <xdr:row>43</xdr:row>
          <xdr:rowOff>63500</xdr:rowOff>
        </xdr:to>
        <xdr:sp macro="" textlink="">
          <xdr:nvSpPr>
            <xdr:cNvPr id="6145" name="btnGuardarOE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-1</xdr:colOff>
      <xdr:row>19</xdr:row>
      <xdr:rowOff>9071</xdr:rowOff>
    </xdr:from>
    <xdr:to>
      <xdr:col>35</xdr:col>
      <xdr:colOff>45357</xdr:colOff>
      <xdr:row>26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</xdr:row>
      <xdr:rowOff>4539</xdr:rowOff>
    </xdr:from>
    <xdr:to>
      <xdr:col>36</xdr:col>
      <xdr:colOff>4962</xdr:colOff>
      <xdr:row>12</xdr:row>
      <xdr:rowOff>4539</xdr:rowOff>
    </xdr:to>
    <xdr:cxnSp macro="">
      <xdr:nvCxnSpPr>
        <xdr:cNvPr id="29" name="Straight Connector 28"/>
        <xdr:cNvCxnSpPr/>
      </xdr:nvCxnSpPr>
      <xdr:spPr>
        <a:xfrm>
          <a:off x="4457700" y="3408139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600263</xdr:colOff>
      <xdr:row>12</xdr:row>
      <xdr:rowOff>224591</xdr:rowOff>
    </xdr:from>
    <xdr:to>
      <xdr:col>36</xdr:col>
      <xdr:colOff>1975</xdr:colOff>
      <xdr:row>12</xdr:row>
      <xdr:rowOff>224591</xdr:rowOff>
    </xdr:to>
    <xdr:cxnSp macro="">
      <xdr:nvCxnSpPr>
        <xdr:cNvPr id="30" name="Straight Connector 29"/>
        <xdr:cNvCxnSpPr/>
      </xdr:nvCxnSpPr>
      <xdr:spPr>
        <a:xfrm>
          <a:off x="3152963" y="3628191"/>
          <a:ext cx="33641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6350</xdr:rowOff>
    </xdr:from>
    <xdr:to>
      <xdr:col>36</xdr:col>
      <xdr:colOff>4962</xdr:colOff>
      <xdr:row>19</xdr:row>
      <xdr:rowOff>6350</xdr:rowOff>
    </xdr:to>
    <xdr:cxnSp macro="">
      <xdr:nvCxnSpPr>
        <xdr:cNvPr id="31" name="Straight Connector 30"/>
        <xdr:cNvCxnSpPr/>
      </xdr:nvCxnSpPr>
      <xdr:spPr>
        <a:xfrm>
          <a:off x="4457700" y="5454650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19</xdr:row>
      <xdr:rowOff>226785</xdr:rowOff>
    </xdr:from>
    <xdr:to>
      <xdr:col>36</xdr:col>
      <xdr:colOff>27641</xdr:colOff>
      <xdr:row>19</xdr:row>
      <xdr:rowOff>226785</xdr:rowOff>
    </xdr:to>
    <xdr:cxnSp macro="">
      <xdr:nvCxnSpPr>
        <xdr:cNvPr id="32" name="Straight Connector 31"/>
        <xdr:cNvCxnSpPr/>
      </xdr:nvCxnSpPr>
      <xdr:spPr>
        <a:xfrm>
          <a:off x="3187700" y="5675085"/>
          <a:ext cx="3355041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</xdr:row>
      <xdr:rowOff>6350</xdr:rowOff>
    </xdr:from>
    <xdr:to>
      <xdr:col>36</xdr:col>
      <xdr:colOff>4962</xdr:colOff>
      <xdr:row>26</xdr:row>
      <xdr:rowOff>6350</xdr:rowOff>
    </xdr:to>
    <xdr:cxnSp macro="">
      <xdr:nvCxnSpPr>
        <xdr:cNvPr id="33" name="Straight Connector 32"/>
        <xdr:cNvCxnSpPr/>
      </xdr:nvCxnSpPr>
      <xdr:spPr>
        <a:xfrm>
          <a:off x="4417786" y="7218136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9072</xdr:colOff>
      <xdr:row>26</xdr:row>
      <xdr:rowOff>6350</xdr:rowOff>
    </xdr:from>
    <xdr:to>
      <xdr:col>35</xdr:col>
      <xdr:colOff>54430</xdr:colOff>
      <xdr:row>32</xdr:row>
      <xdr:rowOff>205922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XED-TERM Garcia Hinojosa Jaime Alexis (SG/MOE1-MX)" refreshedDate="43060.454245717592" createdVersion="6" refreshedVersion="6" minRefreshableVersion="3" recordCount="68">
  <cacheSource type="external" connectionId="5"/>
  <cacheFields count="8">
    <cacheField name="Mes" numFmtId="0">
      <sharedItems containsSemiMixedTypes="0" containsString="0" containsNumber="1" containsInteger="1" minValue="9" maxValue="11" count="3">
        <n v="9"/>
        <n v="10"/>
        <n v="11"/>
      </sharedItems>
    </cacheField>
    <cacheField name="Dia" numFmtId="0">
      <sharedItems containsSemiMixedTypes="0" containsString="0" containsNumber="1" containsInteger="1" minValue="1" maxValue="31" count="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OEE" numFmtId="0">
      <sharedItems count="35">
        <s v=" 13.34% "/>
        <s v=" 0.00% "/>
        <s v=" 36.11% "/>
        <s v=" 1.60% "/>
        <s v=" 17.02% "/>
        <s v=" 19.29% "/>
        <s v=" 5.52% "/>
        <s v=" 38.10% "/>
        <s v=" 14.57% "/>
        <s v=" 20.42% "/>
        <s v=" 9.14% "/>
        <s v=" 16.83% "/>
        <s v=" 45.16% "/>
        <s v=" 65.93% "/>
        <s v=" 3.22% "/>
        <s v=" 24.62% "/>
        <s v=" 19.71% "/>
        <s v=" 18.20% "/>
        <s v=" 11.09% "/>
        <s v=" 13.63% "/>
        <s v=" 10.72% "/>
        <s v=" 18.25% "/>
        <s v=" 77.18% "/>
        <s v=" 67.29% "/>
        <s v=" 33.67% "/>
        <s v=" 20.99% "/>
        <s v=" 23.85% "/>
        <s v=" 37.26% "/>
        <s v=" 7.55% "/>
        <s v=" 37.54% "/>
        <s v=" 14.10% "/>
        <s v=" 9.79% "/>
        <s v=" 28.95% "/>
        <s v=" 35.50% "/>
        <s v=" 14.68% "/>
      </sharedItems>
    </cacheField>
    <cacheField name="Calidad" numFmtId="0">
      <sharedItems count="16">
        <s v=" 0.00% "/>
        <s v=" 0.48% "/>
        <s v=" 2.59% "/>
        <s v=" 1.64% "/>
        <s v=" 0.82% "/>
        <s v=" 9.15% "/>
        <s v=" 0.72% "/>
        <s v=" 3.79% "/>
        <s v=" 0.63% "/>
        <s v=" 0.16% "/>
        <s v=" 0.45% "/>
        <s v=" 3.02% "/>
        <s v=" 12.42% "/>
        <s v=" 0.57% "/>
        <s v=" 0.56% "/>
        <s v=" 0.76% "/>
      </sharedItems>
    </cacheField>
    <cacheField name="Organizacionales" numFmtId="0">
      <sharedItems count="27">
        <s v=" 72.49% "/>
        <s v=" 0.00% "/>
        <s v=" 98.40% "/>
        <s v=" 8.21% "/>
        <s v=" 11.94% "/>
        <s v=" 42.73% "/>
        <s v=" 49.82% "/>
        <s v=" 8.33% "/>
        <s v=" 5.77% "/>
        <s v=" 4.38% "/>
        <s v=" 19.18% "/>
        <s v=" 7.68% "/>
        <s v=" 69.38% "/>
        <s v=" 74.12% "/>
        <s v=" 74.60% "/>
        <s v=" 22.36% "/>
        <s v=" 6.50% "/>
        <s v=" 1.68% "/>
        <s v=" 62.93% "/>
        <s v=" 6.36% "/>
        <s v=" 12.07% "/>
        <s v=" 29.56% "/>
        <s v=" 19.68% "/>
        <s v=" 10.35% "/>
        <s v=" 3.62% "/>
        <s v=" 31.43% "/>
        <s v=" 15.10% "/>
      </sharedItems>
    </cacheField>
    <cacheField name="Tecnicas" numFmtId="0">
      <sharedItems count="33">
        <s v=" 14.17% "/>
        <s v=" 0.00% "/>
        <s v=" 44.14% "/>
        <s v=" 59.21% "/>
        <s v=" 37.97% "/>
        <s v=" 31.94% "/>
        <s v=" 72.25% "/>
        <s v=" 91.67% "/>
        <s v=" 73.22% "/>
        <s v=" 64.48% "/>
        <s v=" 63.67% "/>
        <s v=" 30.17% "/>
        <s v=" 20.48% "/>
        <s v=" 3.28% "/>
        <s v=" 36.17% "/>
        <s v=" 1.54% "/>
        <s v=" 45.80% "/>
        <s v=" 66.91% "/>
        <s v=" 81.20% "/>
        <s v=" 2.60% "/>
        <s v=" 7.32% "/>
        <s v=" 19.27% "/>
        <s v=" 54.09% "/>
        <s v=" 44.95% "/>
        <s v=" 33.49% "/>
        <s v=" 6.03% "/>
        <s v=" 29.06% "/>
        <s v=" 32.08% "/>
        <s v=" 71.39% "/>
        <s v=" 61.06% "/>
        <s v=" 6.83% "/>
        <s v=" 61.11% "/>
        <s v=" 38.00% "/>
      </sharedItems>
    </cacheField>
    <cacheField name="Cambios" numFmtId="0">
      <sharedItems count="34">
        <s v=" 0.00% "/>
        <s v=" 19.26% "/>
        <s v=" 12.97% "/>
        <s v=" 30.81% "/>
        <s v=" 19.82% "/>
        <s v=" 12.08% "/>
        <s v=" 11.55% "/>
        <s v=" 6.36% "/>
        <s v=" 19.79% "/>
        <s v=" 5.97% "/>
        <s v=" 5.49% "/>
        <s v=" 5.91% "/>
        <s v=" 2.73% "/>
        <s v=" 43.40% "/>
        <s v=" 6.14% "/>
        <s v=" 14.30% "/>
        <s v=" 14.42% "/>
        <s v=" 6.25% "/>
        <s v=" 6.40% "/>
        <s v=" 16.22% "/>
        <s v=" 15.34% "/>
        <s v=" 13.44% "/>
        <s v=" 12.25% "/>
        <s v=" 27.24% "/>
        <s v=" 30.59% "/>
        <s v=" 24.13% "/>
        <s v=" 92.45% "/>
        <s v=" 13.73% "/>
        <s v=" 31.05% "/>
        <s v=" 14.47% "/>
        <s v=" 9.42% "/>
        <s v=" 24.60% "/>
        <s v=" 9.37% "/>
        <s v=" 31.46% "/>
      </sharedItems>
    </cacheField>
    <cacheField name="Desempeno" numFmtId="0">
      <sharedItems count="1">
        <s v=" 0.00%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">
  <r>
    <x v="0"/>
    <x v="0"/>
    <x v="0"/>
    <x v="0"/>
    <x v="0"/>
    <x v="0"/>
    <x v="0"/>
    <x v="0"/>
  </r>
  <r>
    <x v="1"/>
    <x v="0"/>
    <x v="1"/>
    <x v="0"/>
    <x v="1"/>
    <x v="1"/>
    <x v="0"/>
    <x v="0"/>
  </r>
  <r>
    <x v="2"/>
    <x v="0"/>
    <x v="2"/>
    <x v="1"/>
    <x v="1"/>
    <x v="2"/>
    <x v="1"/>
    <x v="0"/>
  </r>
  <r>
    <x v="0"/>
    <x v="1"/>
    <x v="3"/>
    <x v="0"/>
    <x v="2"/>
    <x v="1"/>
    <x v="0"/>
    <x v="0"/>
  </r>
  <r>
    <x v="2"/>
    <x v="1"/>
    <x v="1"/>
    <x v="0"/>
    <x v="1"/>
    <x v="1"/>
    <x v="0"/>
    <x v="0"/>
  </r>
  <r>
    <x v="1"/>
    <x v="1"/>
    <x v="4"/>
    <x v="2"/>
    <x v="3"/>
    <x v="3"/>
    <x v="2"/>
    <x v="0"/>
  </r>
  <r>
    <x v="2"/>
    <x v="2"/>
    <x v="5"/>
    <x v="0"/>
    <x v="4"/>
    <x v="4"/>
    <x v="3"/>
    <x v="0"/>
  </r>
  <r>
    <x v="0"/>
    <x v="2"/>
    <x v="1"/>
    <x v="0"/>
    <x v="1"/>
    <x v="1"/>
    <x v="0"/>
    <x v="0"/>
  </r>
  <r>
    <x v="1"/>
    <x v="2"/>
    <x v="6"/>
    <x v="0"/>
    <x v="5"/>
    <x v="5"/>
    <x v="4"/>
    <x v="0"/>
  </r>
  <r>
    <x v="0"/>
    <x v="3"/>
    <x v="7"/>
    <x v="0"/>
    <x v="6"/>
    <x v="1"/>
    <x v="5"/>
    <x v="0"/>
  </r>
  <r>
    <x v="2"/>
    <x v="3"/>
    <x v="1"/>
    <x v="0"/>
    <x v="1"/>
    <x v="1"/>
    <x v="0"/>
    <x v="0"/>
  </r>
  <r>
    <x v="1"/>
    <x v="3"/>
    <x v="8"/>
    <x v="3"/>
    <x v="1"/>
    <x v="6"/>
    <x v="6"/>
    <x v="0"/>
  </r>
  <r>
    <x v="1"/>
    <x v="4"/>
    <x v="1"/>
    <x v="0"/>
    <x v="7"/>
    <x v="7"/>
    <x v="0"/>
    <x v="0"/>
  </r>
  <r>
    <x v="0"/>
    <x v="4"/>
    <x v="9"/>
    <x v="0"/>
    <x v="1"/>
    <x v="8"/>
    <x v="7"/>
    <x v="0"/>
  </r>
  <r>
    <x v="2"/>
    <x v="4"/>
    <x v="1"/>
    <x v="0"/>
    <x v="1"/>
    <x v="1"/>
    <x v="0"/>
    <x v="0"/>
  </r>
  <r>
    <x v="2"/>
    <x v="5"/>
    <x v="10"/>
    <x v="4"/>
    <x v="8"/>
    <x v="9"/>
    <x v="8"/>
    <x v="0"/>
  </r>
  <r>
    <x v="1"/>
    <x v="5"/>
    <x v="11"/>
    <x v="5"/>
    <x v="9"/>
    <x v="10"/>
    <x v="9"/>
    <x v="0"/>
  </r>
  <r>
    <x v="0"/>
    <x v="5"/>
    <x v="12"/>
    <x v="0"/>
    <x v="10"/>
    <x v="11"/>
    <x v="10"/>
    <x v="0"/>
  </r>
  <r>
    <x v="1"/>
    <x v="6"/>
    <x v="13"/>
    <x v="0"/>
    <x v="11"/>
    <x v="12"/>
    <x v="11"/>
    <x v="0"/>
  </r>
  <r>
    <x v="2"/>
    <x v="6"/>
    <x v="14"/>
    <x v="0"/>
    <x v="1"/>
    <x v="1"/>
    <x v="0"/>
    <x v="0"/>
  </r>
  <r>
    <x v="0"/>
    <x v="6"/>
    <x v="15"/>
    <x v="0"/>
    <x v="12"/>
    <x v="13"/>
    <x v="12"/>
    <x v="0"/>
  </r>
  <r>
    <x v="1"/>
    <x v="7"/>
    <x v="16"/>
    <x v="6"/>
    <x v="1"/>
    <x v="14"/>
    <x v="13"/>
    <x v="0"/>
  </r>
  <r>
    <x v="0"/>
    <x v="7"/>
    <x v="17"/>
    <x v="0"/>
    <x v="13"/>
    <x v="15"/>
    <x v="14"/>
    <x v="0"/>
  </r>
  <r>
    <x v="0"/>
    <x v="8"/>
    <x v="18"/>
    <x v="0"/>
    <x v="14"/>
    <x v="1"/>
    <x v="15"/>
    <x v="0"/>
  </r>
  <r>
    <x v="1"/>
    <x v="8"/>
    <x v="19"/>
    <x v="7"/>
    <x v="15"/>
    <x v="16"/>
    <x v="16"/>
    <x v="0"/>
  </r>
  <r>
    <x v="1"/>
    <x v="9"/>
    <x v="16"/>
    <x v="8"/>
    <x v="16"/>
    <x v="17"/>
    <x v="17"/>
    <x v="0"/>
  </r>
  <r>
    <x v="0"/>
    <x v="9"/>
    <x v="1"/>
    <x v="0"/>
    <x v="1"/>
    <x v="1"/>
    <x v="0"/>
    <x v="0"/>
  </r>
  <r>
    <x v="1"/>
    <x v="10"/>
    <x v="20"/>
    <x v="0"/>
    <x v="17"/>
    <x v="18"/>
    <x v="18"/>
    <x v="0"/>
  </r>
  <r>
    <x v="0"/>
    <x v="10"/>
    <x v="21"/>
    <x v="0"/>
    <x v="18"/>
    <x v="19"/>
    <x v="19"/>
    <x v="0"/>
  </r>
  <r>
    <x v="0"/>
    <x v="11"/>
    <x v="1"/>
    <x v="0"/>
    <x v="1"/>
    <x v="1"/>
    <x v="0"/>
    <x v="0"/>
  </r>
  <r>
    <x v="1"/>
    <x v="11"/>
    <x v="22"/>
    <x v="9"/>
    <x v="1"/>
    <x v="20"/>
    <x v="20"/>
    <x v="0"/>
  </r>
  <r>
    <x v="0"/>
    <x v="12"/>
    <x v="1"/>
    <x v="0"/>
    <x v="1"/>
    <x v="1"/>
    <x v="0"/>
    <x v="0"/>
  </r>
  <r>
    <x v="1"/>
    <x v="12"/>
    <x v="23"/>
    <x v="0"/>
    <x v="1"/>
    <x v="21"/>
    <x v="21"/>
    <x v="0"/>
  </r>
  <r>
    <x v="1"/>
    <x v="13"/>
    <x v="1"/>
    <x v="0"/>
    <x v="1"/>
    <x v="1"/>
    <x v="0"/>
    <x v="0"/>
  </r>
  <r>
    <x v="0"/>
    <x v="13"/>
    <x v="1"/>
    <x v="0"/>
    <x v="1"/>
    <x v="1"/>
    <x v="0"/>
    <x v="0"/>
  </r>
  <r>
    <x v="1"/>
    <x v="14"/>
    <x v="1"/>
    <x v="0"/>
    <x v="1"/>
    <x v="1"/>
    <x v="0"/>
    <x v="0"/>
  </r>
  <r>
    <x v="0"/>
    <x v="14"/>
    <x v="1"/>
    <x v="0"/>
    <x v="1"/>
    <x v="1"/>
    <x v="0"/>
    <x v="0"/>
  </r>
  <r>
    <x v="0"/>
    <x v="15"/>
    <x v="1"/>
    <x v="0"/>
    <x v="1"/>
    <x v="1"/>
    <x v="0"/>
    <x v="0"/>
  </r>
  <r>
    <x v="1"/>
    <x v="15"/>
    <x v="24"/>
    <x v="0"/>
    <x v="1"/>
    <x v="22"/>
    <x v="22"/>
    <x v="0"/>
  </r>
  <r>
    <x v="0"/>
    <x v="16"/>
    <x v="1"/>
    <x v="0"/>
    <x v="1"/>
    <x v="1"/>
    <x v="0"/>
    <x v="0"/>
  </r>
  <r>
    <x v="1"/>
    <x v="16"/>
    <x v="25"/>
    <x v="10"/>
    <x v="19"/>
    <x v="23"/>
    <x v="23"/>
    <x v="0"/>
  </r>
  <r>
    <x v="1"/>
    <x v="17"/>
    <x v="1"/>
    <x v="0"/>
    <x v="1"/>
    <x v="1"/>
    <x v="0"/>
    <x v="0"/>
  </r>
  <r>
    <x v="0"/>
    <x v="17"/>
    <x v="1"/>
    <x v="0"/>
    <x v="1"/>
    <x v="1"/>
    <x v="0"/>
    <x v="0"/>
  </r>
  <r>
    <x v="0"/>
    <x v="18"/>
    <x v="1"/>
    <x v="0"/>
    <x v="1"/>
    <x v="1"/>
    <x v="0"/>
    <x v="0"/>
  </r>
  <r>
    <x v="1"/>
    <x v="18"/>
    <x v="26"/>
    <x v="0"/>
    <x v="20"/>
    <x v="24"/>
    <x v="24"/>
    <x v="0"/>
  </r>
  <r>
    <x v="1"/>
    <x v="19"/>
    <x v="27"/>
    <x v="11"/>
    <x v="21"/>
    <x v="25"/>
    <x v="25"/>
    <x v="0"/>
  </r>
  <r>
    <x v="0"/>
    <x v="19"/>
    <x v="1"/>
    <x v="0"/>
    <x v="1"/>
    <x v="1"/>
    <x v="0"/>
    <x v="0"/>
  </r>
  <r>
    <x v="1"/>
    <x v="20"/>
    <x v="28"/>
    <x v="0"/>
    <x v="1"/>
    <x v="1"/>
    <x v="26"/>
    <x v="0"/>
  </r>
  <r>
    <x v="0"/>
    <x v="20"/>
    <x v="1"/>
    <x v="0"/>
    <x v="1"/>
    <x v="1"/>
    <x v="0"/>
    <x v="0"/>
  </r>
  <r>
    <x v="0"/>
    <x v="21"/>
    <x v="1"/>
    <x v="0"/>
    <x v="1"/>
    <x v="1"/>
    <x v="0"/>
    <x v="0"/>
  </r>
  <r>
    <x v="1"/>
    <x v="21"/>
    <x v="1"/>
    <x v="0"/>
    <x v="1"/>
    <x v="1"/>
    <x v="0"/>
    <x v="0"/>
  </r>
  <r>
    <x v="0"/>
    <x v="22"/>
    <x v="1"/>
    <x v="0"/>
    <x v="1"/>
    <x v="1"/>
    <x v="0"/>
    <x v="0"/>
  </r>
  <r>
    <x v="1"/>
    <x v="22"/>
    <x v="29"/>
    <x v="0"/>
    <x v="22"/>
    <x v="26"/>
    <x v="27"/>
    <x v="0"/>
  </r>
  <r>
    <x v="0"/>
    <x v="23"/>
    <x v="1"/>
    <x v="0"/>
    <x v="1"/>
    <x v="1"/>
    <x v="0"/>
    <x v="0"/>
  </r>
  <r>
    <x v="1"/>
    <x v="23"/>
    <x v="30"/>
    <x v="12"/>
    <x v="23"/>
    <x v="27"/>
    <x v="28"/>
    <x v="0"/>
  </r>
  <r>
    <x v="0"/>
    <x v="24"/>
    <x v="1"/>
    <x v="0"/>
    <x v="1"/>
    <x v="1"/>
    <x v="0"/>
    <x v="0"/>
  </r>
  <r>
    <x v="1"/>
    <x v="24"/>
    <x v="31"/>
    <x v="6"/>
    <x v="24"/>
    <x v="28"/>
    <x v="29"/>
    <x v="0"/>
  </r>
  <r>
    <x v="1"/>
    <x v="25"/>
    <x v="32"/>
    <x v="13"/>
    <x v="1"/>
    <x v="29"/>
    <x v="30"/>
    <x v="0"/>
  </r>
  <r>
    <x v="0"/>
    <x v="25"/>
    <x v="1"/>
    <x v="0"/>
    <x v="1"/>
    <x v="1"/>
    <x v="0"/>
    <x v="0"/>
  </r>
  <r>
    <x v="0"/>
    <x v="26"/>
    <x v="1"/>
    <x v="0"/>
    <x v="1"/>
    <x v="1"/>
    <x v="0"/>
    <x v="0"/>
  </r>
  <r>
    <x v="1"/>
    <x v="26"/>
    <x v="33"/>
    <x v="3"/>
    <x v="25"/>
    <x v="30"/>
    <x v="31"/>
    <x v="0"/>
  </r>
  <r>
    <x v="0"/>
    <x v="27"/>
    <x v="1"/>
    <x v="0"/>
    <x v="1"/>
    <x v="1"/>
    <x v="0"/>
    <x v="0"/>
  </r>
  <r>
    <x v="1"/>
    <x v="27"/>
    <x v="1"/>
    <x v="0"/>
    <x v="1"/>
    <x v="1"/>
    <x v="0"/>
    <x v="0"/>
  </r>
  <r>
    <x v="0"/>
    <x v="28"/>
    <x v="1"/>
    <x v="0"/>
    <x v="1"/>
    <x v="1"/>
    <x v="0"/>
    <x v="0"/>
  </r>
  <r>
    <x v="1"/>
    <x v="28"/>
    <x v="1"/>
    <x v="0"/>
    <x v="1"/>
    <x v="1"/>
    <x v="0"/>
    <x v="0"/>
  </r>
  <r>
    <x v="1"/>
    <x v="29"/>
    <x v="32"/>
    <x v="14"/>
    <x v="1"/>
    <x v="31"/>
    <x v="32"/>
    <x v="0"/>
  </r>
  <r>
    <x v="0"/>
    <x v="29"/>
    <x v="1"/>
    <x v="0"/>
    <x v="1"/>
    <x v="1"/>
    <x v="0"/>
    <x v="0"/>
  </r>
  <r>
    <x v="1"/>
    <x v="30"/>
    <x v="34"/>
    <x v="15"/>
    <x v="26"/>
    <x v="32"/>
    <x v="3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8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K3:BU10" firstHeaderRow="1" firstDataRow="8" firstDataCol="0" rowPageCount="1" colPageCount="1"/>
  <pivotFields count="8">
    <pivotField axis="axisPage" showAll="0" defaultSubtotal="0">
      <items count="3">
        <item x="1"/>
        <item x="2"/>
        <item x="0"/>
      </items>
    </pivotField>
    <pivotField axis="axisCol" showAll="0" defaultSubtotal="0">
      <items count="31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5"/>
      </items>
    </pivotField>
    <pivotField axis="axisCol" showAll="0" defaultSubtotal="0">
      <items count="35">
        <item x="1"/>
        <item x="20"/>
        <item x="19"/>
        <item x="30"/>
        <item x="8"/>
        <item x="34"/>
        <item x="4"/>
        <item x="16"/>
        <item x="25"/>
        <item x="26"/>
        <item x="32"/>
        <item x="24"/>
        <item x="33"/>
        <item x="27"/>
        <item x="29"/>
        <item x="6"/>
        <item x="13"/>
        <item x="23"/>
        <item x="28"/>
        <item x="22"/>
        <item x="31"/>
        <item x="2"/>
        <item x="5"/>
        <item x="10"/>
        <item x="14"/>
        <item x="11"/>
        <item x="0"/>
        <item x="3"/>
        <item x="7"/>
        <item x="9"/>
        <item x="12"/>
        <item x="15"/>
        <item x="17"/>
        <item x="18"/>
        <item x="21"/>
      </items>
    </pivotField>
    <pivotField axis="axisCol" showAll="0" defaultSubtotal="0">
      <items count="16">
        <item x="0"/>
        <item x="9"/>
        <item x="10"/>
        <item x="14"/>
        <item x="13"/>
        <item x="8"/>
        <item x="6"/>
        <item x="15"/>
        <item x="3"/>
        <item x="12"/>
        <item x="2"/>
        <item x="11"/>
        <item x="7"/>
        <item x="1"/>
        <item x="4"/>
        <item x="5"/>
      </items>
    </pivotField>
    <pivotField axis="axisCol" showAll="0" defaultSubtotal="0">
      <items count="27">
        <item x="1"/>
        <item x="17"/>
        <item x="23"/>
        <item x="20"/>
        <item x="26"/>
        <item x="22"/>
        <item x="15"/>
        <item x="21"/>
        <item x="24"/>
        <item x="25"/>
        <item x="5"/>
        <item x="19"/>
        <item x="16"/>
        <item x="11"/>
        <item x="3"/>
        <item x="7"/>
        <item x="4"/>
        <item x="8"/>
        <item x="9"/>
        <item x="0"/>
        <item x="2"/>
        <item x="6"/>
        <item x="10"/>
        <item x="12"/>
        <item x="13"/>
        <item x="14"/>
        <item x="18"/>
      </items>
    </pivotField>
    <pivotField axis="axisCol" showAll="0" defaultSubtotal="0">
      <items count="33">
        <item x="1"/>
        <item x="21"/>
        <item x="12"/>
        <item x="26"/>
        <item x="5"/>
        <item x="27"/>
        <item x="24"/>
        <item x="14"/>
        <item x="32"/>
        <item x="23"/>
        <item x="16"/>
        <item x="22"/>
        <item x="3"/>
        <item x="25"/>
        <item x="30"/>
        <item x="29"/>
        <item x="31"/>
        <item x="17"/>
        <item x="20"/>
        <item x="28"/>
        <item x="6"/>
        <item x="18"/>
        <item x="7"/>
        <item x="2"/>
        <item x="4"/>
        <item x="9"/>
        <item x="10"/>
        <item x="0"/>
        <item x="8"/>
        <item x="11"/>
        <item x="13"/>
        <item x="15"/>
        <item x="19"/>
      </items>
    </pivotField>
    <pivotField axis="axisCol" showAll="0" defaultSubtotal="0">
      <items count="34">
        <item x="0"/>
        <item x="6"/>
        <item x="22"/>
        <item x="2"/>
        <item x="21"/>
        <item x="27"/>
        <item x="16"/>
        <item x="29"/>
        <item x="20"/>
        <item x="4"/>
        <item x="25"/>
        <item x="31"/>
        <item x="23"/>
        <item x="24"/>
        <item x="28"/>
        <item x="33"/>
        <item x="13"/>
        <item x="11"/>
        <item x="17"/>
        <item x="18"/>
        <item x="32"/>
        <item x="30"/>
        <item x="26"/>
        <item x="1"/>
        <item x="3"/>
        <item x="8"/>
        <item x="9"/>
        <item x="5"/>
        <item x="7"/>
        <item x="10"/>
        <item x="12"/>
        <item x="14"/>
        <item x="15"/>
        <item x="19"/>
      </items>
    </pivotField>
    <pivotField axis="axisCol" showAll="0" defaultSubtotal="0">
      <items count="1">
        <item x="0"/>
      </items>
    </pivotField>
  </pivotFields>
  <rowItems count="1">
    <i/>
  </rowItems>
  <colFields count="7">
    <field x="1"/>
    <field x="2"/>
    <field x="3"/>
    <field x="4"/>
    <field x="5"/>
    <field x="6"/>
    <field x="7"/>
  </colFields>
  <colItems count="63">
    <i>
      <x/>
      <x/>
      <x/>
      <x/>
      <x/>
      <x/>
      <x/>
    </i>
    <i r="1">
      <x v="21"/>
      <x v="13"/>
      <x/>
      <x v="23"/>
      <x v="23"/>
      <x/>
    </i>
    <i r="1">
      <x v="26"/>
      <x/>
      <x v="19"/>
      <x v="27"/>
      <x/>
      <x/>
    </i>
    <i>
      <x v="1"/>
      <x/>
      <x/>
      <x/>
      <x/>
      <x/>
      <x/>
    </i>
    <i r="1">
      <x v="6"/>
      <x v="10"/>
      <x v="14"/>
      <x v="12"/>
      <x v="3"/>
      <x/>
    </i>
    <i r="1">
      <x v="27"/>
      <x/>
      <x v="20"/>
      <x/>
      <x/>
      <x/>
    </i>
    <i>
      <x v="2"/>
      <x/>
      <x/>
      <x/>
      <x/>
      <x/>
      <x/>
    </i>
    <i r="1">
      <x v="15"/>
      <x/>
      <x v="10"/>
      <x v="4"/>
      <x v="9"/>
      <x/>
    </i>
    <i r="1">
      <x v="22"/>
      <x/>
      <x v="16"/>
      <x v="24"/>
      <x v="24"/>
      <x/>
    </i>
    <i>
      <x v="3"/>
      <x/>
      <x/>
      <x/>
      <x/>
      <x/>
      <x/>
    </i>
    <i r="1">
      <x v="4"/>
      <x v="8"/>
      <x/>
      <x v="20"/>
      <x v="1"/>
      <x/>
    </i>
    <i r="1">
      <x v="28"/>
      <x/>
      <x v="21"/>
      <x/>
      <x v="27"/>
      <x/>
    </i>
    <i>
      <x v="4"/>
      <x/>
      <x/>
      <x/>
      <x/>
      <x/>
      <x/>
    </i>
    <i r="3">
      <x v="15"/>
      <x v="22"/>
      <x/>
      <x/>
    </i>
    <i r="1">
      <x v="29"/>
      <x/>
      <x/>
      <x v="28"/>
      <x v="28"/>
      <x/>
    </i>
    <i>
      <x v="5"/>
      <x v="16"/>
      <x/>
      <x v="13"/>
      <x v="2"/>
      <x v="17"/>
      <x/>
    </i>
    <i r="1">
      <x v="24"/>
      <x/>
      <x/>
      <x/>
      <x/>
      <x/>
    </i>
    <i r="1">
      <x v="31"/>
      <x/>
      <x v="23"/>
      <x v="30"/>
      <x v="30"/>
      <x/>
    </i>
    <i>
      <x v="6"/>
      <x v="7"/>
      <x v="6"/>
      <x/>
      <x v="7"/>
      <x v="16"/>
      <x/>
    </i>
    <i r="1">
      <x v="32"/>
      <x/>
      <x v="24"/>
      <x v="31"/>
      <x v="31"/>
      <x/>
    </i>
    <i>
      <x v="7"/>
      <x v="2"/>
      <x v="12"/>
      <x v="6"/>
      <x v="10"/>
      <x v="6"/>
      <x/>
    </i>
    <i r="1">
      <x v="33"/>
      <x/>
      <x v="25"/>
      <x/>
      <x v="32"/>
      <x/>
    </i>
    <i>
      <x v="8"/>
      <x/>
      <x/>
      <x/>
      <x/>
      <x/>
      <x/>
    </i>
    <i r="1">
      <x v="7"/>
      <x v="5"/>
      <x v="12"/>
      <x v="17"/>
      <x v="18"/>
      <x/>
    </i>
    <i>
      <x v="9"/>
      <x v="1"/>
      <x/>
      <x v="1"/>
      <x v="21"/>
      <x v="19"/>
      <x/>
    </i>
    <i r="1">
      <x v="34"/>
      <x/>
      <x v="26"/>
      <x v="32"/>
      <x v="33"/>
      <x/>
    </i>
    <i>
      <x v="10"/>
      <x/>
      <x/>
      <x/>
      <x/>
      <x/>
      <x/>
    </i>
    <i r="1">
      <x v="19"/>
      <x v="1"/>
      <x/>
      <x v="18"/>
      <x v="8"/>
      <x/>
    </i>
    <i>
      <x v="11"/>
      <x/>
      <x/>
      <x/>
      <x/>
      <x/>
      <x/>
    </i>
    <i r="1">
      <x v="17"/>
      <x/>
      <x/>
      <x v="1"/>
      <x v="4"/>
      <x/>
    </i>
    <i>
      <x v="12"/>
      <x/>
      <x/>
      <x/>
      <x/>
      <x/>
      <x/>
    </i>
    <i>
      <x v="13"/>
      <x/>
      <x/>
      <x/>
      <x/>
      <x/>
      <x/>
    </i>
    <i>
      <x v="14"/>
      <x/>
      <x/>
      <x/>
      <x/>
      <x/>
      <x/>
    </i>
    <i r="1">
      <x v="11"/>
      <x/>
      <x/>
      <x v="11"/>
      <x v="2"/>
      <x/>
    </i>
    <i>
      <x v="15"/>
      <x/>
      <x/>
      <x/>
      <x/>
      <x/>
      <x/>
    </i>
    <i r="1">
      <x v="8"/>
      <x v="2"/>
      <x v="11"/>
      <x v="9"/>
      <x v="12"/>
      <x/>
    </i>
    <i>
      <x v="16"/>
      <x/>
      <x/>
      <x/>
      <x/>
      <x/>
      <x/>
    </i>
    <i>
      <x v="17"/>
      <x/>
      <x/>
      <x/>
      <x/>
      <x/>
      <x/>
    </i>
    <i r="1">
      <x v="9"/>
      <x/>
      <x v="3"/>
      <x v="6"/>
      <x v="13"/>
      <x/>
    </i>
    <i>
      <x v="18"/>
      <x/>
      <x/>
      <x/>
      <x/>
      <x/>
      <x/>
    </i>
    <i r="1">
      <x v="13"/>
      <x v="11"/>
      <x v="7"/>
      <x v="13"/>
      <x v="10"/>
      <x/>
    </i>
    <i>
      <x v="19"/>
      <x/>
      <x/>
      <x/>
      <x/>
      <x/>
      <x/>
    </i>
    <i r="1">
      <x v="18"/>
      <x/>
      <x/>
      <x/>
      <x v="22"/>
      <x/>
    </i>
    <i>
      <x v="20"/>
      <x/>
      <x/>
      <x/>
      <x/>
      <x/>
      <x/>
    </i>
    <i>
      <x v="21"/>
      <x/>
      <x/>
      <x/>
      <x/>
      <x/>
      <x/>
    </i>
    <i r="1">
      <x v="14"/>
      <x/>
      <x v="5"/>
      <x v="3"/>
      <x v="5"/>
      <x/>
    </i>
    <i>
      <x v="22"/>
      <x/>
      <x/>
      <x/>
      <x/>
      <x/>
      <x/>
    </i>
    <i r="1">
      <x v="3"/>
      <x v="9"/>
      <x v="2"/>
      <x v="5"/>
      <x v="14"/>
      <x/>
    </i>
    <i>
      <x v="23"/>
      <x/>
      <x/>
      <x/>
      <x/>
      <x/>
      <x/>
    </i>
    <i r="1">
      <x v="20"/>
      <x v="6"/>
      <x v="8"/>
      <x v="19"/>
      <x v="7"/>
      <x/>
    </i>
    <i>
      <x v="24"/>
      <x/>
      <x/>
      <x/>
      <x/>
      <x/>
      <x/>
    </i>
    <i r="1">
      <x v="10"/>
      <x v="4"/>
      <x/>
      <x v="15"/>
      <x v="21"/>
      <x/>
    </i>
    <i>
      <x v="25"/>
      <x/>
      <x/>
      <x/>
      <x/>
      <x/>
      <x/>
    </i>
    <i r="1">
      <x v="12"/>
      <x v="8"/>
      <x v="9"/>
      <x v="14"/>
      <x v="11"/>
      <x/>
    </i>
    <i>
      <x v="26"/>
      <x/>
      <x/>
      <x/>
      <x/>
      <x/>
      <x/>
    </i>
    <i>
      <x v="27"/>
      <x/>
      <x/>
      <x/>
      <x/>
      <x/>
      <x/>
    </i>
    <i>
      <x v="28"/>
      <x/>
      <x/>
      <x/>
      <x/>
      <x/>
      <x/>
    </i>
    <i r="1">
      <x v="10"/>
      <x v="3"/>
      <x/>
      <x v="16"/>
      <x v="20"/>
      <x/>
    </i>
    <i>
      <x v="29"/>
      <x v="5"/>
      <x v="7"/>
      <x v="4"/>
      <x v="8"/>
      <x v="15"/>
      <x/>
    </i>
    <i>
      <x v="30"/>
      <x v="23"/>
      <x v="14"/>
      <x v="17"/>
      <x v="25"/>
      <x v="25"/>
      <x/>
    </i>
    <i r="1">
      <x v="25"/>
      <x v="15"/>
      <x v="18"/>
      <x v="26"/>
      <x v="26"/>
      <x/>
    </i>
    <i r="1">
      <x v="30"/>
      <x/>
      <x v="22"/>
      <x v="29"/>
      <x v="29"/>
      <x/>
    </i>
    <i t="grand">
      <x/>
    </i>
  </colItem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ystemKPI.od" refreshOnLoad="1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Mes" tableColumnId="1"/>
      <queryTableField id="2" name="Dia" tableColumnId="2"/>
      <queryTableField id="3" name="OEE" tableColumnId="3"/>
      <queryTableField id="4" name="Calidad" tableColumnId="4"/>
      <queryTableField id="5" name="Organizacionales" tableColumnId="5"/>
      <queryTableField id="6" name="Tecnicas" tableColumnId="6"/>
      <queryTableField id="7" name="Cambios" tableColumnId="7"/>
      <queryTableField id="8" name="Desempeno" tableColumnId="8"/>
    </queryTableFields>
  </queryTableRefresh>
</queryTable>
</file>

<file path=xl/queryTables/queryTable2.xml><?xml version="1.0" encoding="utf-8"?>
<queryTable xmlns="http://schemas.openxmlformats.org/spreadsheetml/2006/main" name="SystemKPI HourlyCount.od" refreshOnLoad="1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SystemKPI.od" displayName="Table_SystemKPI.od" ref="B2:I70" tableType="queryTable" totalsRowShown="0">
  <autoFilter ref="B2:I70">
    <filterColumn colId="0">
      <filters>
        <filter val="10"/>
      </filters>
    </filterColumn>
  </autoFilter>
  <sortState ref="B3:I70">
    <sortCondition ref="C2:C5"/>
  </sortState>
  <tableColumns count="8">
    <tableColumn id="1" uniqueName="1" name="Mes" queryTableFieldId="1"/>
    <tableColumn id="2" uniqueName="2" name="Dia" queryTableFieldId="2"/>
    <tableColumn id="3" uniqueName="3" name="OEE" queryTableFieldId="3"/>
    <tableColumn id="4" uniqueName="4" name="Calidad" queryTableFieldId="4"/>
    <tableColumn id="5" uniqueName="5" name="Organizacionales" queryTableFieldId="5"/>
    <tableColumn id="6" uniqueName="6" name="Tecnicas" queryTableFieldId="6"/>
    <tableColumn id="7" uniqueName="7" name="Cambios" queryTableFieldId="7"/>
    <tableColumn id="8" uniqueName="8" name="Desempeno" queryTableField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_SystemKPI_HourlyCount.od" displayName="Table_SystemKPI_HourlyCount.od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30"/>
      <c r="C4" s="430"/>
      <c r="D4" s="430"/>
      <c r="E4" s="430"/>
      <c r="F4" s="430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AR4" s="430"/>
      <c r="AS4" s="430"/>
    </row>
    <row r="5" spans="1:45" ht="18" customHeight="1" thickBot="1">
      <c r="B5" s="5"/>
      <c r="C5" s="431" t="s">
        <v>4</v>
      </c>
      <c r="D5" s="432"/>
      <c r="E5" s="433" t="s">
        <v>5</v>
      </c>
      <c r="F5" s="434"/>
      <c r="G5" s="433" t="s">
        <v>6</v>
      </c>
      <c r="H5" s="435"/>
      <c r="I5" s="435"/>
      <c r="J5" s="435"/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5"/>
      <c r="X5" s="435"/>
      <c r="Y5" s="435"/>
      <c r="Z5" s="435"/>
      <c r="AA5" s="435"/>
      <c r="AB5" s="435"/>
      <c r="AC5" s="435"/>
      <c r="AD5" s="435"/>
      <c r="AE5" s="435"/>
      <c r="AF5" s="435"/>
      <c r="AG5" s="434"/>
      <c r="AH5" s="6" t="s">
        <v>7</v>
      </c>
      <c r="AI5" s="436" t="s">
        <v>8</v>
      </c>
      <c r="AJ5" s="437"/>
      <c r="AK5" s="436" t="s">
        <v>9</v>
      </c>
      <c r="AL5" s="438"/>
      <c r="AM5" s="438"/>
      <c r="AN5" s="439" t="s">
        <v>10</v>
      </c>
      <c r="AO5" s="440"/>
      <c r="AP5" s="440"/>
      <c r="AQ5" s="440"/>
      <c r="AR5" s="440"/>
      <c r="AS5" s="441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42">
        <v>10</v>
      </c>
      <c r="I6" s="442"/>
      <c r="J6" s="442">
        <v>20</v>
      </c>
      <c r="K6" s="442"/>
      <c r="L6" s="442">
        <v>30</v>
      </c>
      <c r="M6" s="442"/>
      <c r="N6" s="442">
        <v>40</v>
      </c>
      <c r="O6" s="442"/>
      <c r="P6" s="442">
        <v>50</v>
      </c>
      <c r="Q6" s="442"/>
      <c r="R6" s="442">
        <v>60</v>
      </c>
      <c r="S6" s="442"/>
      <c r="T6" s="442">
        <v>70</v>
      </c>
      <c r="U6" s="442"/>
      <c r="V6" s="442">
        <v>80</v>
      </c>
      <c r="W6" s="442"/>
      <c r="X6" s="442">
        <v>90</v>
      </c>
      <c r="Y6" s="442"/>
      <c r="Z6" s="442">
        <v>100</v>
      </c>
      <c r="AA6" s="442"/>
      <c r="AB6" s="442">
        <v>110</v>
      </c>
      <c r="AC6" s="442"/>
      <c r="AD6" s="442">
        <v>120</v>
      </c>
      <c r="AE6" s="442"/>
      <c r="AF6" s="442">
        <v>130</v>
      </c>
      <c r="AG6" s="445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46" t="s">
        <v>16</v>
      </c>
      <c r="AO6" s="447"/>
      <c r="AP6" s="16" t="s">
        <v>17</v>
      </c>
      <c r="AQ6" s="17" t="s">
        <v>16</v>
      </c>
      <c r="AR6" s="448" t="s">
        <v>17</v>
      </c>
      <c r="AS6" s="449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43"/>
      <c r="AS7" s="444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43"/>
      <c r="AS8" s="444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43"/>
      <c r="AS9" s="444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43"/>
      <c r="AS10" s="444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43"/>
      <c r="AS11" s="444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43"/>
      <c r="AS12" s="444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43"/>
      <c r="AS13" s="444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43"/>
      <c r="AS14" s="444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43"/>
      <c r="AS15" s="444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43"/>
      <c r="AS16" s="444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43"/>
      <c r="AS17" s="444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43"/>
      <c r="AS18" s="444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43"/>
      <c r="AS19" s="444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43"/>
      <c r="AS20" s="444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43"/>
      <c r="AS21" s="444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43"/>
      <c r="AS22" s="444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43"/>
      <c r="AS23" s="444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43"/>
      <c r="AS24" s="444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43"/>
      <c r="AS25" s="444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43"/>
      <c r="AS26" s="444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43"/>
      <c r="AS27" s="444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43"/>
      <c r="AS28" s="444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43"/>
      <c r="AS29" s="444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43"/>
      <c r="AS30" s="444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43"/>
      <c r="AS31" s="444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52"/>
      <c r="AS32" s="453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54" t="s">
        <v>46</v>
      </c>
      <c r="AI33" s="455"/>
      <c r="AJ33" s="455"/>
      <c r="AK33" s="84"/>
      <c r="AL33" s="84"/>
      <c r="AM33" s="458" t="s">
        <v>47</v>
      </c>
      <c r="AN33" s="455"/>
      <c r="AO33" s="85"/>
      <c r="AP33" s="85"/>
      <c r="AQ33" s="459" t="s">
        <v>48</v>
      </c>
      <c r="AR33" s="86"/>
      <c r="AS33" s="87"/>
    </row>
    <row r="34" spans="1:45" ht="18" customHeight="1" thickBot="1">
      <c r="B34" s="450" t="s">
        <v>49</v>
      </c>
      <c r="C34" s="451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56"/>
      <c r="AI34" s="457"/>
      <c r="AJ34" s="457"/>
      <c r="AK34" s="93"/>
      <c r="AL34" s="93"/>
      <c r="AM34" s="457"/>
      <c r="AN34" s="457"/>
      <c r="AO34" s="94"/>
      <c r="AP34" s="94"/>
      <c r="AQ34" s="460"/>
      <c r="AR34" s="95"/>
      <c r="AS34" s="96"/>
    </row>
    <row r="35" spans="1:45" s="4" customFormat="1" ht="3" customHeigh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  <c r="AR35" s="430"/>
      <c r="AS35" s="430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B4:AS4"/>
    <mergeCell ref="C5:D5"/>
    <mergeCell ref="E5:F5"/>
    <mergeCell ref="G5:AG5"/>
    <mergeCell ref="AI5:AJ5"/>
    <mergeCell ref="AK5:AM5"/>
    <mergeCell ref="AN5:AS5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BU70"/>
  <sheetViews>
    <sheetView zoomScale="85" zoomScaleNormal="85" workbookViewId="0"/>
  </sheetViews>
  <sheetFormatPr defaultRowHeight="12.5"/>
  <cols>
    <col min="2" max="2" width="6.81640625" bestFit="1" customWidth="1"/>
    <col min="3" max="3" width="6.1796875" bestFit="1" customWidth="1"/>
    <col min="4" max="4" width="8.08984375" bestFit="1" customWidth="1"/>
    <col min="5" max="5" width="9.7265625" bestFit="1" customWidth="1"/>
    <col min="6" max="6" width="18.08984375" bestFit="1" customWidth="1"/>
    <col min="7" max="7" width="10.90625" bestFit="1" customWidth="1"/>
    <col min="8" max="8" width="10.81640625" bestFit="1" customWidth="1"/>
    <col min="9" max="9" width="13.36328125" bestFit="1" customWidth="1"/>
    <col min="11" max="72" width="16" customWidth="1"/>
    <col min="73" max="73" width="11.08984375" customWidth="1"/>
    <col min="74" max="74" width="9.6328125" customWidth="1"/>
    <col min="75" max="76" width="13" customWidth="1"/>
    <col min="77" max="77" width="9.6328125" customWidth="1"/>
    <col min="78" max="79" width="13" customWidth="1"/>
    <col min="80" max="80" width="9.6328125" customWidth="1"/>
    <col min="81" max="81" width="13" customWidth="1"/>
    <col min="82" max="82" width="11.90625" customWidth="1"/>
    <col min="83" max="83" width="9.6328125" customWidth="1"/>
    <col min="84" max="85" width="11.90625" customWidth="1"/>
    <col min="86" max="86" width="9.6328125" customWidth="1"/>
    <col min="87" max="88" width="13" customWidth="1"/>
    <col min="89" max="89" width="8.6328125" customWidth="1"/>
    <col min="90" max="91" width="11.90625" customWidth="1"/>
    <col min="92" max="92" width="8.6328125" customWidth="1"/>
    <col min="93" max="94" width="11.90625" customWidth="1"/>
    <col min="95" max="95" width="9.6328125" customWidth="1"/>
    <col min="96" max="97" width="11.90625" customWidth="1"/>
    <col min="98" max="98" width="9.6328125" customWidth="1"/>
    <col min="99" max="100" width="13" customWidth="1"/>
    <col min="101" max="101" width="11.08984375" customWidth="1"/>
    <col min="102" max="102" width="13" customWidth="1"/>
    <col min="103" max="103" width="9.6328125" customWidth="1"/>
    <col min="104" max="104" width="13" customWidth="1"/>
    <col min="105" max="106" width="11.90625" customWidth="1"/>
    <col min="107" max="107" width="9.6328125" customWidth="1"/>
    <col min="108" max="110" width="11.90625" customWidth="1"/>
    <col min="111" max="111" width="9.6328125" customWidth="1"/>
    <col min="112" max="113" width="13" customWidth="1"/>
    <col min="114" max="114" width="11.90625" customWidth="1"/>
    <col min="115" max="115" width="8.6328125" customWidth="1"/>
    <col min="116" max="118" width="11.90625" customWidth="1"/>
    <col min="119" max="119" width="8.6328125" customWidth="1"/>
    <col min="120" max="122" width="11.90625" customWidth="1"/>
    <col min="123" max="123" width="9.6328125" customWidth="1"/>
    <col min="124" max="126" width="11.90625" customWidth="1"/>
    <col min="127" max="127" width="9.6328125" customWidth="1"/>
    <col min="128" max="128" width="13" bestFit="1" customWidth="1"/>
    <col min="129" max="129" width="13" customWidth="1"/>
    <col min="130" max="130" width="11.90625" customWidth="1"/>
    <col min="131" max="131" width="11.08984375" customWidth="1"/>
    <col min="132" max="133" width="11.90625" customWidth="1"/>
    <col min="134" max="134" width="11.90625" bestFit="1" customWidth="1"/>
    <col min="135" max="135" width="7.7265625" customWidth="1"/>
    <col min="136" max="136" width="9.6328125" customWidth="1"/>
    <col min="137" max="138" width="13" customWidth="1"/>
    <col min="139" max="139" width="11.90625" customWidth="1"/>
    <col min="140" max="140" width="7.7265625" customWidth="1"/>
    <col min="141" max="141" width="8.6328125" customWidth="1"/>
    <col min="142" max="144" width="11.90625" customWidth="1"/>
    <col min="145" max="145" width="7.7265625" customWidth="1"/>
    <col min="146" max="146" width="8.6328125" customWidth="1"/>
    <col min="147" max="149" width="11.90625" customWidth="1"/>
    <col min="150" max="150" width="7.7265625" customWidth="1"/>
    <col min="151" max="151" width="9.6328125" customWidth="1"/>
    <col min="152" max="153" width="11.90625" bestFit="1" customWidth="1"/>
    <col min="154" max="154" width="11.90625" customWidth="1"/>
    <col min="155" max="155" width="7.7265625" customWidth="1"/>
    <col min="156" max="156" width="9.6328125" customWidth="1"/>
    <col min="157" max="158" width="13" customWidth="1"/>
    <col min="159" max="159" width="11.90625" customWidth="1"/>
    <col min="160" max="160" width="7.7265625" customWidth="1"/>
    <col min="161" max="161" width="11.08984375" customWidth="1"/>
    <col min="162" max="162" width="13" customWidth="1"/>
    <col min="163" max="163" width="13" bestFit="1" customWidth="1"/>
    <col min="164" max="164" width="11.90625" customWidth="1"/>
    <col min="165" max="165" width="13" customWidth="1"/>
    <col min="166" max="166" width="7.7265625" customWidth="1"/>
    <col min="167" max="167" width="8.6328125" customWidth="1"/>
    <col min="168" max="171" width="11.90625" customWidth="1"/>
    <col min="172" max="172" width="7.7265625" customWidth="1"/>
    <col min="173" max="173" width="8.6328125" customWidth="1"/>
    <col min="174" max="174" width="11.90625" customWidth="1"/>
    <col min="175" max="177" width="11.90625" bestFit="1" customWidth="1"/>
    <col min="178" max="178" width="7.7265625" customWidth="1"/>
    <col min="179" max="179" width="9.6328125" customWidth="1"/>
    <col min="180" max="180" width="11.90625" bestFit="1" customWidth="1"/>
    <col min="181" max="181" width="11.90625" customWidth="1"/>
    <col min="182" max="182" width="11.90625" bestFit="1" customWidth="1"/>
    <col min="183" max="183" width="13" bestFit="1" customWidth="1"/>
    <col min="184" max="184" width="7.7265625" customWidth="1"/>
    <col min="185" max="185" width="9.6328125" customWidth="1"/>
    <col min="186" max="187" width="13" bestFit="1" customWidth="1"/>
    <col min="188" max="188" width="11.90625" customWidth="1"/>
    <col min="189" max="189" width="13" bestFit="1" customWidth="1"/>
    <col min="190" max="190" width="7.7265625" customWidth="1"/>
    <col min="191" max="191" width="11.08984375" customWidth="1"/>
    <col min="192" max="192" width="7.7265625" customWidth="1"/>
    <col min="193" max="193" width="8.6328125" customWidth="1"/>
    <col min="194" max="198" width="11.90625" bestFit="1" customWidth="1"/>
    <col min="199" max="199" width="7.7265625" customWidth="1"/>
    <col min="200" max="200" width="8.6328125" customWidth="1"/>
    <col min="201" max="205" width="11.90625" bestFit="1" customWidth="1"/>
    <col min="206" max="206" width="7.7265625" customWidth="1"/>
    <col min="207" max="207" width="9.6328125" bestFit="1" customWidth="1"/>
    <col min="208" max="208" width="11.90625" bestFit="1" customWidth="1"/>
    <col min="209" max="209" width="13" bestFit="1" customWidth="1"/>
    <col min="210" max="211" width="11.90625" bestFit="1" customWidth="1"/>
    <col min="212" max="212" width="13" bestFit="1" customWidth="1"/>
    <col min="213" max="213" width="7.7265625" customWidth="1"/>
    <col min="214" max="214" width="9.6328125" bestFit="1" customWidth="1"/>
    <col min="215" max="217" width="13" bestFit="1" customWidth="1"/>
    <col min="218" max="218" width="11.90625" bestFit="1" customWidth="1"/>
    <col min="219" max="219" width="13" bestFit="1" customWidth="1"/>
    <col min="220" max="220" width="7.7265625" customWidth="1"/>
    <col min="221" max="221" width="11.08984375" bestFit="1" customWidth="1"/>
  </cols>
  <sheetData>
    <row r="1" spans="2:73">
      <c r="K1" s="392" t="s">
        <v>129</v>
      </c>
      <c r="L1" t="s">
        <v>217</v>
      </c>
    </row>
    <row r="2" spans="2:73">
      <c r="B2" t="s">
        <v>129</v>
      </c>
      <c r="C2" t="s">
        <v>130</v>
      </c>
      <c r="D2" t="s">
        <v>118</v>
      </c>
      <c r="E2" t="s">
        <v>131</v>
      </c>
      <c r="F2" t="s">
        <v>132</v>
      </c>
      <c r="G2" t="s">
        <v>133</v>
      </c>
      <c r="H2" t="s">
        <v>134</v>
      </c>
      <c r="I2" t="s">
        <v>135</v>
      </c>
    </row>
    <row r="3" spans="2:73" hidden="1">
      <c r="B3">
        <v>9</v>
      </c>
      <c r="C3">
        <v>1</v>
      </c>
      <c r="D3" t="s">
        <v>250</v>
      </c>
      <c r="E3" t="s">
        <v>126</v>
      </c>
      <c r="F3" t="s">
        <v>251</v>
      </c>
      <c r="G3" t="s">
        <v>252</v>
      </c>
      <c r="H3" t="s">
        <v>126</v>
      </c>
      <c r="I3" t="s">
        <v>126</v>
      </c>
      <c r="K3" s="392" t="s">
        <v>215</v>
      </c>
    </row>
    <row r="4" spans="2:73">
      <c r="B4">
        <v>10</v>
      </c>
      <c r="C4">
        <v>1</v>
      </c>
      <c r="D4" t="s">
        <v>126</v>
      </c>
      <c r="E4" t="s">
        <v>126</v>
      </c>
      <c r="F4" t="s">
        <v>126</v>
      </c>
      <c r="G4" t="s">
        <v>126</v>
      </c>
      <c r="H4" t="s">
        <v>126</v>
      </c>
      <c r="I4" t="s">
        <v>126</v>
      </c>
      <c r="K4">
        <v>1</v>
      </c>
      <c r="N4">
        <v>2</v>
      </c>
      <c r="Q4">
        <v>3</v>
      </c>
      <c r="T4">
        <v>4</v>
      </c>
      <c r="W4">
        <v>5</v>
      </c>
      <c r="Z4">
        <v>7</v>
      </c>
      <c r="AC4">
        <v>8</v>
      </c>
      <c r="AE4">
        <v>9</v>
      </c>
      <c r="AG4">
        <v>10</v>
      </c>
      <c r="AI4">
        <v>11</v>
      </c>
      <c r="AK4">
        <v>12</v>
      </c>
      <c r="AM4">
        <v>13</v>
      </c>
      <c r="AO4">
        <v>14</v>
      </c>
      <c r="AP4">
        <v>15</v>
      </c>
      <c r="AQ4">
        <v>16</v>
      </c>
      <c r="AS4">
        <v>17</v>
      </c>
      <c r="AU4">
        <v>18</v>
      </c>
      <c r="AV4">
        <v>19</v>
      </c>
      <c r="AX4">
        <v>20</v>
      </c>
      <c r="AZ4">
        <v>21</v>
      </c>
      <c r="BB4">
        <v>22</v>
      </c>
      <c r="BC4">
        <v>23</v>
      </c>
      <c r="BE4">
        <v>24</v>
      </c>
      <c r="BG4">
        <v>25</v>
      </c>
      <c r="BI4">
        <v>26</v>
      </c>
      <c r="BK4">
        <v>27</v>
      </c>
      <c r="BM4">
        <v>28</v>
      </c>
      <c r="BN4">
        <v>29</v>
      </c>
      <c r="BO4">
        <v>30</v>
      </c>
      <c r="BQ4">
        <v>31</v>
      </c>
      <c r="BR4">
        <v>6</v>
      </c>
      <c r="BU4" t="s">
        <v>216</v>
      </c>
    </row>
    <row r="5" spans="2:73" hidden="1">
      <c r="B5">
        <v>11</v>
      </c>
      <c r="C5">
        <v>1</v>
      </c>
      <c r="D5" t="s">
        <v>220</v>
      </c>
      <c r="E5" t="s">
        <v>221</v>
      </c>
      <c r="F5" t="s">
        <v>126</v>
      </c>
      <c r="G5" t="s">
        <v>222</v>
      </c>
      <c r="H5" t="s">
        <v>223</v>
      </c>
      <c r="I5" t="s">
        <v>126</v>
      </c>
      <c r="K5" t="s">
        <v>126</v>
      </c>
      <c r="L5" t="s">
        <v>220</v>
      </c>
      <c r="M5" t="s">
        <v>250</v>
      </c>
      <c r="N5" t="s">
        <v>126</v>
      </c>
      <c r="O5" t="s">
        <v>140</v>
      </c>
      <c r="P5" t="s">
        <v>253</v>
      </c>
      <c r="Q5" t="s">
        <v>126</v>
      </c>
      <c r="R5" t="s">
        <v>145</v>
      </c>
      <c r="S5" t="s">
        <v>227</v>
      </c>
      <c r="T5" t="s">
        <v>126</v>
      </c>
      <c r="U5" t="s">
        <v>149</v>
      </c>
      <c r="V5" t="s">
        <v>255</v>
      </c>
      <c r="W5" t="s">
        <v>126</v>
      </c>
      <c r="Y5" t="s">
        <v>258</v>
      </c>
      <c r="Z5" t="s">
        <v>155</v>
      </c>
      <c r="AA5" t="s">
        <v>236</v>
      </c>
      <c r="AB5" t="s">
        <v>264</v>
      </c>
      <c r="AC5" t="s">
        <v>159</v>
      </c>
      <c r="AD5" t="s">
        <v>268</v>
      </c>
      <c r="AE5" t="s">
        <v>163</v>
      </c>
      <c r="AF5" t="s">
        <v>272</v>
      </c>
      <c r="AG5" t="s">
        <v>126</v>
      </c>
      <c r="AH5" t="s">
        <v>159</v>
      </c>
      <c r="AI5" t="s">
        <v>136</v>
      </c>
      <c r="AJ5" t="s">
        <v>275</v>
      </c>
      <c r="AK5" t="s">
        <v>126</v>
      </c>
      <c r="AL5" t="s">
        <v>127</v>
      </c>
      <c r="AM5" t="s">
        <v>126</v>
      </c>
      <c r="AN5" t="s">
        <v>172</v>
      </c>
      <c r="AO5" t="s">
        <v>126</v>
      </c>
      <c r="AP5" t="s">
        <v>126</v>
      </c>
      <c r="AQ5" t="s">
        <v>126</v>
      </c>
      <c r="AR5" t="s">
        <v>175</v>
      </c>
      <c r="AS5" t="s">
        <v>126</v>
      </c>
      <c r="AT5" t="s">
        <v>178</v>
      </c>
      <c r="AU5" t="s">
        <v>126</v>
      </c>
      <c r="AV5" t="s">
        <v>126</v>
      </c>
      <c r="AW5" t="s">
        <v>183</v>
      </c>
      <c r="AX5" t="s">
        <v>126</v>
      </c>
      <c r="AY5" t="s">
        <v>187</v>
      </c>
      <c r="AZ5" t="s">
        <v>126</v>
      </c>
      <c r="BA5" t="s">
        <v>192</v>
      </c>
      <c r="BB5" t="s">
        <v>126</v>
      </c>
      <c r="BC5" t="s">
        <v>126</v>
      </c>
      <c r="BD5" t="s">
        <v>194</v>
      </c>
      <c r="BE5" t="s">
        <v>126</v>
      </c>
      <c r="BF5" t="s">
        <v>198</v>
      </c>
      <c r="BG5" t="s">
        <v>126</v>
      </c>
      <c r="BH5" t="s">
        <v>203</v>
      </c>
      <c r="BI5" t="s">
        <v>126</v>
      </c>
      <c r="BJ5" t="s">
        <v>207</v>
      </c>
      <c r="BK5" t="s">
        <v>126</v>
      </c>
      <c r="BL5" t="s">
        <v>211</v>
      </c>
      <c r="BM5" t="s">
        <v>126</v>
      </c>
      <c r="BN5" t="s">
        <v>126</v>
      </c>
      <c r="BO5" t="s">
        <v>126</v>
      </c>
      <c r="BP5" t="s">
        <v>207</v>
      </c>
      <c r="BQ5" t="s">
        <v>245</v>
      </c>
      <c r="BR5" t="s">
        <v>231</v>
      </c>
      <c r="BS5" t="s">
        <v>237</v>
      </c>
      <c r="BT5" t="s">
        <v>260</v>
      </c>
    </row>
    <row r="6" spans="2:73" hidden="1">
      <c r="B6">
        <v>9</v>
      </c>
      <c r="C6">
        <v>2</v>
      </c>
      <c r="D6" t="s">
        <v>253</v>
      </c>
      <c r="E6" t="s">
        <v>126</v>
      </c>
      <c r="F6" t="s">
        <v>254</v>
      </c>
      <c r="G6" t="s">
        <v>126</v>
      </c>
      <c r="H6" t="s">
        <v>126</v>
      </c>
      <c r="I6" t="s">
        <v>126</v>
      </c>
      <c r="K6" t="s">
        <v>126</v>
      </c>
      <c r="L6" t="s">
        <v>221</v>
      </c>
      <c r="M6" t="s">
        <v>126</v>
      </c>
      <c r="N6" t="s">
        <v>126</v>
      </c>
      <c r="O6" t="s">
        <v>141</v>
      </c>
      <c r="P6" t="s">
        <v>126</v>
      </c>
      <c r="Q6" t="s">
        <v>126</v>
      </c>
      <c r="R6" t="s">
        <v>126</v>
      </c>
      <c r="S6" t="s">
        <v>126</v>
      </c>
      <c r="T6" t="s">
        <v>126</v>
      </c>
      <c r="U6" t="s">
        <v>150</v>
      </c>
      <c r="V6" t="s">
        <v>126</v>
      </c>
      <c r="W6" t="s">
        <v>126</v>
      </c>
      <c r="Y6" t="s">
        <v>126</v>
      </c>
      <c r="Z6" t="s">
        <v>126</v>
      </c>
      <c r="AA6" t="s">
        <v>126</v>
      </c>
      <c r="AB6" t="s">
        <v>126</v>
      </c>
      <c r="AC6" t="s">
        <v>160</v>
      </c>
      <c r="AD6" t="s">
        <v>126</v>
      </c>
      <c r="AE6" t="s">
        <v>164</v>
      </c>
      <c r="AF6" t="s">
        <v>126</v>
      </c>
      <c r="AG6" t="s">
        <v>126</v>
      </c>
      <c r="AH6" t="s">
        <v>168</v>
      </c>
      <c r="AI6" t="s">
        <v>126</v>
      </c>
      <c r="AJ6" t="s">
        <v>126</v>
      </c>
      <c r="AK6" t="s">
        <v>126</v>
      </c>
      <c r="AL6" t="s">
        <v>124</v>
      </c>
      <c r="AM6" t="s">
        <v>126</v>
      </c>
      <c r="AN6" t="s">
        <v>126</v>
      </c>
      <c r="AO6" t="s">
        <v>126</v>
      </c>
      <c r="AP6" t="s">
        <v>126</v>
      </c>
      <c r="AQ6" t="s">
        <v>126</v>
      </c>
      <c r="AR6" t="s">
        <v>126</v>
      </c>
      <c r="AS6" t="s">
        <v>126</v>
      </c>
      <c r="AT6" t="s">
        <v>179</v>
      </c>
      <c r="AU6" t="s">
        <v>126</v>
      </c>
      <c r="AV6" t="s">
        <v>126</v>
      </c>
      <c r="AW6" t="s">
        <v>126</v>
      </c>
      <c r="AX6" t="s">
        <v>126</v>
      </c>
      <c r="AY6" t="s">
        <v>188</v>
      </c>
      <c r="AZ6" t="s">
        <v>126</v>
      </c>
      <c r="BA6" t="s">
        <v>126</v>
      </c>
      <c r="BB6" t="s">
        <v>126</v>
      </c>
      <c r="BC6" t="s">
        <v>126</v>
      </c>
      <c r="BD6" t="s">
        <v>126</v>
      </c>
      <c r="BE6" t="s">
        <v>126</v>
      </c>
      <c r="BF6" t="s">
        <v>199</v>
      </c>
      <c r="BG6" t="s">
        <v>126</v>
      </c>
      <c r="BH6" t="s">
        <v>160</v>
      </c>
      <c r="BI6" t="s">
        <v>126</v>
      </c>
      <c r="BJ6" t="s">
        <v>208</v>
      </c>
      <c r="BK6" t="s">
        <v>126</v>
      </c>
      <c r="BL6" t="s">
        <v>150</v>
      </c>
      <c r="BM6" t="s">
        <v>126</v>
      </c>
      <c r="BN6" t="s">
        <v>126</v>
      </c>
      <c r="BO6" t="s">
        <v>126</v>
      </c>
      <c r="BP6" t="s">
        <v>242</v>
      </c>
      <c r="BQ6" t="s">
        <v>246</v>
      </c>
      <c r="BR6" t="s">
        <v>232</v>
      </c>
      <c r="BS6" t="s">
        <v>238</v>
      </c>
      <c r="BT6" t="s">
        <v>126</v>
      </c>
    </row>
    <row r="7" spans="2:73" hidden="1">
      <c r="B7">
        <v>11</v>
      </c>
      <c r="C7">
        <v>2</v>
      </c>
      <c r="D7" t="s">
        <v>126</v>
      </c>
      <c r="E7" t="s">
        <v>126</v>
      </c>
      <c r="F7" t="s">
        <v>126</v>
      </c>
      <c r="G7" t="s">
        <v>126</v>
      </c>
      <c r="H7" t="s">
        <v>126</v>
      </c>
      <c r="I7" t="s">
        <v>126</v>
      </c>
      <c r="K7" t="s">
        <v>126</v>
      </c>
      <c r="L7" t="s">
        <v>126</v>
      </c>
      <c r="M7" t="s">
        <v>251</v>
      </c>
      <c r="N7" t="s">
        <v>126</v>
      </c>
      <c r="O7" t="s">
        <v>142</v>
      </c>
      <c r="P7" t="s">
        <v>254</v>
      </c>
      <c r="Q7" t="s">
        <v>126</v>
      </c>
      <c r="R7" t="s">
        <v>146</v>
      </c>
      <c r="S7" t="s">
        <v>228</v>
      </c>
      <c r="T7" t="s">
        <v>126</v>
      </c>
      <c r="U7" t="s">
        <v>126</v>
      </c>
      <c r="V7" t="s">
        <v>256</v>
      </c>
      <c r="W7" t="s">
        <v>126</v>
      </c>
      <c r="X7" t="s">
        <v>153</v>
      </c>
      <c r="Y7" t="s">
        <v>126</v>
      </c>
      <c r="Z7" t="s">
        <v>156</v>
      </c>
      <c r="AA7" t="s">
        <v>126</v>
      </c>
      <c r="AB7" t="s">
        <v>265</v>
      </c>
      <c r="AC7" t="s">
        <v>126</v>
      </c>
      <c r="AD7" t="s">
        <v>269</v>
      </c>
      <c r="AE7" t="s">
        <v>165</v>
      </c>
      <c r="AF7" t="s">
        <v>273</v>
      </c>
      <c r="AG7" t="s">
        <v>126</v>
      </c>
      <c r="AH7" t="s">
        <v>169</v>
      </c>
      <c r="AI7" t="s">
        <v>137</v>
      </c>
      <c r="AJ7" t="s">
        <v>276</v>
      </c>
      <c r="AK7" t="s">
        <v>126</v>
      </c>
      <c r="AL7" t="s">
        <v>126</v>
      </c>
      <c r="AM7" t="s">
        <v>126</v>
      </c>
      <c r="AN7" t="s">
        <v>126</v>
      </c>
      <c r="AO7" t="s">
        <v>126</v>
      </c>
      <c r="AP7" t="s">
        <v>126</v>
      </c>
      <c r="AQ7" t="s">
        <v>126</v>
      </c>
      <c r="AR7" t="s">
        <v>126</v>
      </c>
      <c r="AS7" t="s">
        <v>126</v>
      </c>
      <c r="AT7" t="s">
        <v>180</v>
      </c>
      <c r="AU7" t="s">
        <v>126</v>
      </c>
      <c r="AV7" t="s">
        <v>126</v>
      </c>
      <c r="AW7" t="s">
        <v>184</v>
      </c>
      <c r="AX7" t="s">
        <v>126</v>
      </c>
      <c r="AY7" t="s">
        <v>189</v>
      </c>
      <c r="AZ7" t="s">
        <v>126</v>
      </c>
      <c r="BA7" t="s">
        <v>126</v>
      </c>
      <c r="BB7" t="s">
        <v>126</v>
      </c>
      <c r="BC7" t="s">
        <v>126</v>
      </c>
      <c r="BD7" t="s">
        <v>195</v>
      </c>
      <c r="BE7" t="s">
        <v>126</v>
      </c>
      <c r="BF7" t="s">
        <v>200</v>
      </c>
      <c r="BG7" t="s">
        <v>126</v>
      </c>
      <c r="BH7" t="s">
        <v>204</v>
      </c>
      <c r="BI7" t="s">
        <v>126</v>
      </c>
      <c r="BJ7" t="s">
        <v>126</v>
      </c>
      <c r="BK7" t="s">
        <v>126</v>
      </c>
      <c r="BL7" t="s">
        <v>212</v>
      </c>
      <c r="BM7" t="s">
        <v>126</v>
      </c>
      <c r="BN7" t="s">
        <v>126</v>
      </c>
      <c r="BO7" t="s">
        <v>126</v>
      </c>
      <c r="BP7" t="s">
        <v>126</v>
      </c>
      <c r="BQ7" t="s">
        <v>247</v>
      </c>
      <c r="BR7" t="s">
        <v>233</v>
      </c>
      <c r="BS7" t="s">
        <v>239</v>
      </c>
      <c r="BT7" t="s">
        <v>261</v>
      </c>
    </row>
    <row r="8" spans="2:73">
      <c r="B8">
        <v>10</v>
      </c>
      <c r="C8">
        <v>2</v>
      </c>
      <c r="D8" t="s">
        <v>140</v>
      </c>
      <c r="E8" t="s">
        <v>141</v>
      </c>
      <c r="F8" t="s">
        <v>142</v>
      </c>
      <c r="G8" t="s">
        <v>143</v>
      </c>
      <c r="H8" t="s">
        <v>144</v>
      </c>
      <c r="I8" t="s">
        <v>126</v>
      </c>
      <c r="K8" t="s">
        <v>126</v>
      </c>
      <c r="L8" t="s">
        <v>222</v>
      </c>
      <c r="M8" t="s">
        <v>252</v>
      </c>
      <c r="N8" t="s">
        <v>126</v>
      </c>
      <c r="O8" t="s">
        <v>143</v>
      </c>
      <c r="P8" t="s">
        <v>126</v>
      </c>
      <c r="Q8" t="s">
        <v>126</v>
      </c>
      <c r="R8" t="s">
        <v>147</v>
      </c>
      <c r="S8" t="s">
        <v>229</v>
      </c>
      <c r="T8" t="s">
        <v>126</v>
      </c>
      <c r="U8" t="s">
        <v>151</v>
      </c>
      <c r="V8" t="s">
        <v>126</v>
      </c>
      <c r="W8" t="s">
        <v>126</v>
      </c>
      <c r="X8" t="s">
        <v>154</v>
      </c>
      <c r="Y8" t="s">
        <v>259</v>
      </c>
      <c r="Z8" t="s">
        <v>157</v>
      </c>
      <c r="AA8" t="s">
        <v>126</v>
      </c>
      <c r="AB8" t="s">
        <v>266</v>
      </c>
      <c r="AC8" t="s">
        <v>161</v>
      </c>
      <c r="AD8" t="s">
        <v>270</v>
      </c>
      <c r="AE8" t="s">
        <v>166</v>
      </c>
      <c r="AF8" t="s">
        <v>126</v>
      </c>
      <c r="AG8" t="s">
        <v>126</v>
      </c>
      <c r="AH8" t="s">
        <v>170</v>
      </c>
      <c r="AI8" t="s">
        <v>138</v>
      </c>
      <c r="AJ8" t="s">
        <v>277</v>
      </c>
      <c r="AK8" t="s">
        <v>126</v>
      </c>
      <c r="AL8" t="s">
        <v>128</v>
      </c>
      <c r="AM8" t="s">
        <v>126</v>
      </c>
      <c r="AN8" t="s">
        <v>173</v>
      </c>
      <c r="AO8" t="s">
        <v>126</v>
      </c>
      <c r="AP8" t="s">
        <v>126</v>
      </c>
      <c r="AQ8" t="s">
        <v>126</v>
      </c>
      <c r="AR8" t="s">
        <v>176</v>
      </c>
      <c r="AS8" t="s">
        <v>126</v>
      </c>
      <c r="AT8" t="s">
        <v>181</v>
      </c>
      <c r="AU8" t="s">
        <v>126</v>
      </c>
      <c r="AV8" t="s">
        <v>126</v>
      </c>
      <c r="AW8" t="s">
        <v>185</v>
      </c>
      <c r="AX8" t="s">
        <v>126</v>
      </c>
      <c r="AY8" t="s">
        <v>190</v>
      </c>
      <c r="AZ8" t="s">
        <v>126</v>
      </c>
      <c r="BA8" t="s">
        <v>126</v>
      </c>
      <c r="BB8" t="s">
        <v>126</v>
      </c>
      <c r="BC8" t="s">
        <v>126</v>
      </c>
      <c r="BD8" t="s">
        <v>196</v>
      </c>
      <c r="BE8" t="s">
        <v>126</v>
      </c>
      <c r="BF8" t="s">
        <v>201</v>
      </c>
      <c r="BG8" t="s">
        <v>126</v>
      </c>
      <c r="BH8" t="s">
        <v>205</v>
      </c>
      <c r="BI8" t="s">
        <v>126</v>
      </c>
      <c r="BJ8" t="s">
        <v>209</v>
      </c>
      <c r="BK8" t="s">
        <v>126</v>
      </c>
      <c r="BL8" t="s">
        <v>213</v>
      </c>
      <c r="BM8" t="s">
        <v>126</v>
      </c>
      <c r="BN8" t="s">
        <v>126</v>
      </c>
      <c r="BO8" t="s">
        <v>126</v>
      </c>
      <c r="BP8" t="s">
        <v>243</v>
      </c>
      <c r="BQ8" t="s">
        <v>248</v>
      </c>
      <c r="BR8" t="s">
        <v>234</v>
      </c>
      <c r="BS8" t="s">
        <v>240</v>
      </c>
      <c r="BT8" t="s">
        <v>262</v>
      </c>
    </row>
    <row r="9" spans="2:73" hidden="1">
      <c r="B9">
        <v>11</v>
      </c>
      <c r="C9">
        <v>3</v>
      </c>
      <c r="D9" t="s">
        <v>227</v>
      </c>
      <c r="E9" t="s">
        <v>126</v>
      </c>
      <c r="F9" t="s">
        <v>228</v>
      </c>
      <c r="G9" t="s">
        <v>229</v>
      </c>
      <c r="H9" t="s">
        <v>230</v>
      </c>
      <c r="I9" t="s">
        <v>126</v>
      </c>
      <c r="K9" t="s">
        <v>126</v>
      </c>
      <c r="L9" t="s">
        <v>223</v>
      </c>
      <c r="M9" t="s">
        <v>126</v>
      </c>
      <c r="N9" t="s">
        <v>126</v>
      </c>
      <c r="O9" t="s">
        <v>144</v>
      </c>
      <c r="P9" t="s">
        <v>126</v>
      </c>
      <c r="Q9" t="s">
        <v>126</v>
      </c>
      <c r="R9" t="s">
        <v>148</v>
      </c>
      <c r="S9" t="s">
        <v>230</v>
      </c>
      <c r="T9" t="s">
        <v>126</v>
      </c>
      <c r="U9" t="s">
        <v>152</v>
      </c>
      <c r="V9" t="s">
        <v>257</v>
      </c>
      <c r="W9" t="s">
        <v>126</v>
      </c>
      <c r="X9" t="s">
        <v>126</v>
      </c>
      <c r="Y9" t="s">
        <v>180</v>
      </c>
      <c r="Z9" t="s">
        <v>158</v>
      </c>
      <c r="AA9" t="s">
        <v>126</v>
      </c>
      <c r="AB9" t="s">
        <v>267</v>
      </c>
      <c r="AC9" t="s">
        <v>162</v>
      </c>
      <c r="AD9" t="s">
        <v>271</v>
      </c>
      <c r="AE9" t="s">
        <v>167</v>
      </c>
      <c r="AF9" t="s">
        <v>274</v>
      </c>
      <c r="AG9" t="s">
        <v>126</v>
      </c>
      <c r="AH9" t="s">
        <v>171</v>
      </c>
      <c r="AI9" t="s">
        <v>139</v>
      </c>
      <c r="AJ9" t="s">
        <v>278</v>
      </c>
      <c r="AK9" t="s">
        <v>126</v>
      </c>
      <c r="AL9" t="s">
        <v>125</v>
      </c>
      <c r="AM9" t="s">
        <v>126</v>
      </c>
      <c r="AN9" t="s">
        <v>174</v>
      </c>
      <c r="AO9" t="s">
        <v>126</v>
      </c>
      <c r="AP9" t="s">
        <v>126</v>
      </c>
      <c r="AQ9" t="s">
        <v>126</v>
      </c>
      <c r="AR9" t="s">
        <v>177</v>
      </c>
      <c r="AS9" t="s">
        <v>126</v>
      </c>
      <c r="AT9" t="s">
        <v>182</v>
      </c>
      <c r="AU9" t="s">
        <v>126</v>
      </c>
      <c r="AV9" t="s">
        <v>126</v>
      </c>
      <c r="AW9" t="s">
        <v>186</v>
      </c>
      <c r="AX9" t="s">
        <v>126</v>
      </c>
      <c r="AY9" t="s">
        <v>191</v>
      </c>
      <c r="AZ9" t="s">
        <v>126</v>
      </c>
      <c r="BA9" t="s">
        <v>193</v>
      </c>
      <c r="BB9" t="s">
        <v>126</v>
      </c>
      <c r="BC9" t="s">
        <v>126</v>
      </c>
      <c r="BD9" t="s">
        <v>197</v>
      </c>
      <c r="BE9" t="s">
        <v>126</v>
      </c>
      <c r="BF9" t="s">
        <v>202</v>
      </c>
      <c r="BG9" t="s">
        <v>126</v>
      </c>
      <c r="BH9" t="s">
        <v>206</v>
      </c>
      <c r="BI9" t="s">
        <v>126</v>
      </c>
      <c r="BJ9" t="s">
        <v>210</v>
      </c>
      <c r="BK9" t="s">
        <v>126</v>
      </c>
      <c r="BL9" t="s">
        <v>214</v>
      </c>
      <c r="BM9" t="s">
        <v>126</v>
      </c>
      <c r="BN9" t="s">
        <v>126</v>
      </c>
      <c r="BO9" t="s">
        <v>126</v>
      </c>
      <c r="BP9" t="s">
        <v>244</v>
      </c>
      <c r="BQ9" t="s">
        <v>249</v>
      </c>
      <c r="BR9" t="s">
        <v>235</v>
      </c>
      <c r="BS9" t="s">
        <v>241</v>
      </c>
      <c r="BT9" t="s">
        <v>263</v>
      </c>
    </row>
    <row r="10" spans="2:73" hidden="1">
      <c r="B10">
        <v>9</v>
      </c>
      <c r="C10">
        <v>3</v>
      </c>
      <c r="D10" t="s">
        <v>126</v>
      </c>
      <c r="E10" t="s">
        <v>126</v>
      </c>
      <c r="F10" t="s">
        <v>126</v>
      </c>
      <c r="G10" t="s">
        <v>126</v>
      </c>
      <c r="H10" t="s">
        <v>126</v>
      </c>
      <c r="I10" t="s">
        <v>126</v>
      </c>
      <c r="K10" t="s">
        <v>126</v>
      </c>
      <c r="L10" t="s">
        <v>126</v>
      </c>
      <c r="M10" t="s">
        <v>126</v>
      </c>
      <c r="N10" t="s">
        <v>126</v>
      </c>
      <c r="O10" t="s">
        <v>126</v>
      </c>
      <c r="P10" t="s">
        <v>126</v>
      </c>
      <c r="Q10" t="s">
        <v>126</v>
      </c>
      <c r="R10" t="s">
        <v>126</v>
      </c>
      <c r="S10" t="s">
        <v>126</v>
      </c>
      <c r="T10" t="s">
        <v>126</v>
      </c>
      <c r="U10" t="s">
        <v>126</v>
      </c>
      <c r="V10" t="s">
        <v>126</v>
      </c>
      <c r="W10" t="s">
        <v>126</v>
      </c>
      <c r="X10" t="s">
        <v>126</v>
      </c>
      <c r="Y10" t="s">
        <v>126</v>
      </c>
      <c r="Z10" t="s">
        <v>126</v>
      </c>
      <c r="AA10" t="s">
        <v>126</v>
      </c>
      <c r="AB10" t="s">
        <v>126</v>
      </c>
      <c r="AC10" t="s">
        <v>126</v>
      </c>
      <c r="AD10" t="s">
        <v>126</v>
      </c>
      <c r="AE10" t="s">
        <v>126</v>
      </c>
      <c r="AF10" t="s">
        <v>126</v>
      </c>
      <c r="AG10" t="s">
        <v>126</v>
      </c>
      <c r="AH10" t="s">
        <v>126</v>
      </c>
      <c r="AI10" t="s">
        <v>126</v>
      </c>
      <c r="AJ10" t="s">
        <v>126</v>
      </c>
      <c r="AK10" t="s">
        <v>126</v>
      </c>
      <c r="AL10" t="s">
        <v>126</v>
      </c>
      <c r="AM10" t="s">
        <v>126</v>
      </c>
      <c r="AN10" t="s">
        <v>126</v>
      </c>
      <c r="AO10" t="s">
        <v>126</v>
      </c>
      <c r="AP10" t="s">
        <v>126</v>
      </c>
      <c r="AQ10" t="s">
        <v>126</v>
      </c>
      <c r="AR10" t="s">
        <v>126</v>
      </c>
      <c r="AS10" t="s">
        <v>126</v>
      </c>
      <c r="AT10" t="s">
        <v>126</v>
      </c>
      <c r="AU10" t="s">
        <v>126</v>
      </c>
      <c r="AV10" t="s">
        <v>126</v>
      </c>
      <c r="AW10" t="s">
        <v>126</v>
      </c>
      <c r="AX10" t="s">
        <v>126</v>
      </c>
      <c r="AY10" t="s">
        <v>126</v>
      </c>
      <c r="AZ10" t="s">
        <v>126</v>
      </c>
      <c r="BA10" t="s">
        <v>126</v>
      </c>
      <c r="BB10" t="s">
        <v>126</v>
      </c>
      <c r="BC10" t="s">
        <v>126</v>
      </c>
      <c r="BD10" t="s">
        <v>126</v>
      </c>
      <c r="BE10" t="s">
        <v>126</v>
      </c>
      <c r="BF10" t="s">
        <v>126</v>
      </c>
      <c r="BG10" t="s">
        <v>126</v>
      </c>
      <c r="BH10" t="s">
        <v>126</v>
      </c>
      <c r="BI10" t="s">
        <v>126</v>
      </c>
      <c r="BJ10" t="s">
        <v>126</v>
      </c>
      <c r="BK10" t="s">
        <v>126</v>
      </c>
      <c r="BL10" t="s">
        <v>126</v>
      </c>
      <c r="BM10" t="s">
        <v>126</v>
      </c>
      <c r="BN10" t="s">
        <v>126</v>
      </c>
      <c r="BO10" t="s">
        <v>126</v>
      </c>
      <c r="BP10" t="s">
        <v>126</v>
      </c>
      <c r="BQ10" t="s">
        <v>126</v>
      </c>
      <c r="BR10" t="s">
        <v>126</v>
      </c>
      <c r="BS10" t="s">
        <v>126</v>
      </c>
      <c r="BT10" t="s">
        <v>126</v>
      </c>
    </row>
    <row r="11" spans="2:73">
      <c r="B11">
        <v>10</v>
      </c>
      <c r="C11">
        <v>3</v>
      </c>
      <c r="D11" t="s">
        <v>145</v>
      </c>
      <c r="E11" t="s">
        <v>126</v>
      </c>
      <c r="F11" t="s">
        <v>146</v>
      </c>
      <c r="G11" t="s">
        <v>147</v>
      </c>
      <c r="H11" t="s">
        <v>148</v>
      </c>
      <c r="I11" t="s">
        <v>126</v>
      </c>
    </row>
    <row r="12" spans="2:73" hidden="1">
      <c r="B12">
        <v>9</v>
      </c>
      <c r="C12">
        <v>4</v>
      </c>
      <c r="D12" t="s">
        <v>255</v>
      </c>
      <c r="E12" t="s">
        <v>126</v>
      </c>
      <c r="F12" t="s">
        <v>256</v>
      </c>
      <c r="G12" t="s">
        <v>126</v>
      </c>
      <c r="H12" t="s">
        <v>257</v>
      </c>
      <c r="I12" t="s">
        <v>126</v>
      </c>
    </row>
    <row r="13" spans="2:73" hidden="1">
      <c r="B13">
        <v>11</v>
      </c>
      <c r="C13">
        <v>4</v>
      </c>
      <c r="D13" t="s">
        <v>126</v>
      </c>
      <c r="E13" t="s">
        <v>126</v>
      </c>
      <c r="F13" t="s">
        <v>126</v>
      </c>
      <c r="G13" t="s">
        <v>126</v>
      </c>
      <c r="H13" t="s">
        <v>126</v>
      </c>
      <c r="I13" t="s">
        <v>126</v>
      </c>
    </row>
    <row r="14" spans="2:73">
      <c r="B14">
        <v>10</v>
      </c>
      <c r="C14">
        <v>4</v>
      </c>
      <c r="D14" t="s">
        <v>149</v>
      </c>
      <c r="E14" t="s">
        <v>150</v>
      </c>
      <c r="F14" t="s">
        <v>126</v>
      </c>
      <c r="G14" t="s">
        <v>151</v>
      </c>
      <c r="H14" t="s">
        <v>152</v>
      </c>
      <c r="I14" t="s">
        <v>126</v>
      </c>
    </row>
    <row r="15" spans="2:73">
      <c r="B15">
        <v>10</v>
      </c>
      <c r="C15">
        <v>5</v>
      </c>
      <c r="D15" t="s">
        <v>126</v>
      </c>
      <c r="E15" t="s">
        <v>126</v>
      </c>
      <c r="F15" t="s">
        <v>153</v>
      </c>
      <c r="G15" t="s">
        <v>154</v>
      </c>
      <c r="H15" t="s">
        <v>126</v>
      </c>
      <c r="I15" t="s">
        <v>126</v>
      </c>
    </row>
    <row r="16" spans="2:73" hidden="1">
      <c r="B16">
        <v>9</v>
      </c>
      <c r="C16">
        <v>5</v>
      </c>
      <c r="D16" t="s">
        <v>258</v>
      </c>
      <c r="E16" t="s">
        <v>126</v>
      </c>
      <c r="F16" t="s">
        <v>126</v>
      </c>
      <c r="G16" t="s">
        <v>259</v>
      </c>
      <c r="H16" t="s">
        <v>180</v>
      </c>
      <c r="I16" t="s">
        <v>126</v>
      </c>
    </row>
    <row r="17" spans="2:9" hidden="1">
      <c r="B17">
        <v>11</v>
      </c>
      <c r="C17">
        <v>5</v>
      </c>
      <c r="D17" t="s">
        <v>126</v>
      </c>
      <c r="E17" t="s">
        <v>126</v>
      </c>
      <c r="F17" t="s">
        <v>126</v>
      </c>
      <c r="G17" t="s">
        <v>126</v>
      </c>
      <c r="H17" t="s">
        <v>126</v>
      </c>
      <c r="I17" t="s">
        <v>126</v>
      </c>
    </row>
    <row r="18" spans="2:9" hidden="1">
      <c r="B18">
        <v>11</v>
      </c>
      <c r="C18">
        <v>6</v>
      </c>
      <c r="D18" t="s">
        <v>231</v>
      </c>
      <c r="E18" t="s">
        <v>232</v>
      </c>
      <c r="F18" t="s">
        <v>233</v>
      </c>
      <c r="G18" t="s">
        <v>234</v>
      </c>
      <c r="H18" t="s">
        <v>235</v>
      </c>
      <c r="I18" t="s">
        <v>126</v>
      </c>
    </row>
    <row r="19" spans="2:9">
      <c r="B19">
        <v>10</v>
      </c>
      <c r="C19">
        <v>6</v>
      </c>
      <c r="D19" t="s">
        <v>237</v>
      </c>
      <c r="E19" t="s">
        <v>238</v>
      </c>
      <c r="F19" t="s">
        <v>239</v>
      </c>
      <c r="G19" t="s">
        <v>240</v>
      </c>
      <c r="H19" t="s">
        <v>241</v>
      </c>
      <c r="I19" t="s">
        <v>126</v>
      </c>
    </row>
    <row r="20" spans="2:9" hidden="1">
      <c r="B20">
        <v>9</v>
      </c>
      <c r="C20">
        <v>6</v>
      </c>
      <c r="D20" t="s">
        <v>260</v>
      </c>
      <c r="E20" t="s">
        <v>126</v>
      </c>
      <c r="F20" t="s">
        <v>261</v>
      </c>
      <c r="G20" t="s">
        <v>262</v>
      </c>
      <c r="H20" t="s">
        <v>263</v>
      </c>
      <c r="I20" t="s">
        <v>126</v>
      </c>
    </row>
    <row r="21" spans="2:9">
      <c r="B21">
        <v>10</v>
      </c>
      <c r="C21">
        <v>7</v>
      </c>
      <c r="D21" t="s">
        <v>155</v>
      </c>
      <c r="E21" t="s">
        <v>126</v>
      </c>
      <c r="F21" t="s">
        <v>156</v>
      </c>
      <c r="G21" t="s">
        <v>157</v>
      </c>
      <c r="H21" t="s">
        <v>158</v>
      </c>
      <c r="I21" t="s">
        <v>126</v>
      </c>
    </row>
    <row r="22" spans="2:9" hidden="1">
      <c r="B22">
        <v>11</v>
      </c>
      <c r="C22">
        <v>7</v>
      </c>
      <c r="D22" t="s">
        <v>236</v>
      </c>
      <c r="E22" t="s">
        <v>126</v>
      </c>
      <c r="F22" t="s">
        <v>126</v>
      </c>
      <c r="G22" t="s">
        <v>126</v>
      </c>
      <c r="H22" t="s">
        <v>126</v>
      </c>
      <c r="I22" t="s">
        <v>126</v>
      </c>
    </row>
    <row r="23" spans="2:9" hidden="1">
      <c r="B23">
        <v>9</v>
      </c>
      <c r="C23">
        <v>7</v>
      </c>
      <c r="D23" t="s">
        <v>264</v>
      </c>
      <c r="E23" t="s">
        <v>126</v>
      </c>
      <c r="F23" t="s">
        <v>265</v>
      </c>
      <c r="G23" t="s">
        <v>266</v>
      </c>
      <c r="H23" t="s">
        <v>267</v>
      </c>
      <c r="I23" t="s">
        <v>126</v>
      </c>
    </row>
    <row r="24" spans="2:9">
      <c r="B24">
        <v>10</v>
      </c>
      <c r="C24">
        <v>8</v>
      </c>
      <c r="D24" t="s">
        <v>159</v>
      </c>
      <c r="E24" t="s">
        <v>160</v>
      </c>
      <c r="F24" t="s">
        <v>126</v>
      </c>
      <c r="G24" t="s">
        <v>161</v>
      </c>
      <c r="H24" t="s">
        <v>162</v>
      </c>
      <c r="I24" t="s">
        <v>126</v>
      </c>
    </row>
    <row r="25" spans="2:9" hidden="1">
      <c r="B25">
        <v>9</v>
      </c>
      <c r="C25">
        <v>8</v>
      </c>
      <c r="D25" t="s">
        <v>268</v>
      </c>
      <c r="E25" t="s">
        <v>126</v>
      </c>
      <c r="F25" t="s">
        <v>269</v>
      </c>
      <c r="G25" t="s">
        <v>270</v>
      </c>
      <c r="H25" t="s">
        <v>271</v>
      </c>
      <c r="I25" t="s">
        <v>126</v>
      </c>
    </row>
    <row r="26" spans="2:9" hidden="1">
      <c r="B26">
        <v>9</v>
      </c>
      <c r="C26">
        <v>9</v>
      </c>
      <c r="D26" t="s">
        <v>272</v>
      </c>
      <c r="E26" t="s">
        <v>126</v>
      </c>
      <c r="F26" t="s">
        <v>273</v>
      </c>
      <c r="G26" t="s">
        <v>126</v>
      </c>
      <c r="H26" t="s">
        <v>274</v>
      </c>
      <c r="I26" t="s">
        <v>126</v>
      </c>
    </row>
    <row r="27" spans="2:9">
      <c r="B27">
        <v>10</v>
      </c>
      <c r="C27">
        <v>9</v>
      </c>
      <c r="D27" t="s">
        <v>163</v>
      </c>
      <c r="E27" t="s">
        <v>164</v>
      </c>
      <c r="F27" t="s">
        <v>165</v>
      </c>
      <c r="G27" t="s">
        <v>166</v>
      </c>
      <c r="H27" t="s">
        <v>167</v>
      </c>
      <c r="I27" t="s">
        <v>126</v>
      </c>
    </row>
    <row r="28" spans="2:9">
      <c r="B28">
        <v>10</v>
      </c>
      <c r="C28">
        <v>10</v>
      </c>
      <c r="D28" t="s">
        <v>159</v>
      </c>
      <c r="E28" t="s">
        <v>168</v>
      </c>
      <c r="F28" t="s">
        <v>169</v>
      </c>
      <c r="G28" t="s">
        <v>170</v>
      </c>
      <c r="H28" t="s">
        <v>171</v>
      </c>
      <c r="I28" t="s">
        <v>126</v>
      </c>
    </row>
    <row r="29" spans="2:9" hidden="1">
      <c r="B29">
        <v>9</v>
      </c>
      <c r="C29">
        <v>10</v>
      </c>
      <c r="D29" t="s">
        <v>126</v>
      </c>
      <c r="E29" t="s">
        <v>126</v>
      </c>
      <c r="F29" t="s">
        <v>126</v>
      </c>
      <c r="G29" t="s">
        <v>126</v>
      </c>
      <c r="H29" t="s">
        <v>126</v>
      </c>
      <c r="I29" t="s">
        <v>126</v>
      </c>
    </row>
    <row r="30" spans="2:9">
      <c r="B30">
        <v>10</v>
      </c>
      <c r="C30">
        <v>11</v>
      </c>
      <c r="D30" t="s">
        <v>136</v>
      </c>
      <c r="E30" t="s">
        <v>126</v>
      </c>
      <c r="F30" t="s">
        <v>137</v>
      </c>
      <c r="G30" t="s">
        <v>138</v>
      </c>
      <c r="H30" t="s">
        <v>139</v>
      </c>
      <c r="I30" t="s">
        <v>126</v>
      </c>
    </row>
    <row r="31" spans="2:9" hidden="1">
      <c r="B31">
        <v>9</v>
      </c>
      <c r="C31">
        <v>11</v>
      </c>
      <c r="D31" t="s">
        <v>275</v>
      </c>
      <c r="E31" t="s">
        <v>126</v>
      </c>
      <c r="F31" t="s">
        <v>276</v>
      </c>
      <c r="G31" t="s">
        <v>277</v>
      </c>
      <c r="H31" t="s">
        <v>278</v>
      </c>
      <c r="I31" t="s">
        <v>126</v>
      </c>
    </row>
    <row r="32" spans="2:9" hidden="1">
      <c r="B32">
        <v>9</v>
      </c>
      <c r="C32">
        <v>12</v>
      </c>
      <c r="D32" t="s">
        <v>126</v>
      </c>
      <c r="E32" t="s">
        <v>126</v>
      </c>
      <c r="F32" t="s">
        <v>126</v>
      </c>
      <c r="G32" t="s">
        <v>126</v>
      </c>
      <c r="H32" t="s">
        <v>126</v>
      </c>
      <c r="I32" t="s">
        <v>126</v>
      </c>
    </row>
    <row r="33" spans="2:9">
      <c r="B33">
        <v>10</v>
      </c>
      <c r="C33">
        <v>12</v>
      </c>
      <c r="D33" t="s">
        <v>127</v>
      </c>
      <c r="E33" t="s">
        <v>124</v>
      </c>
      <c r="F33" t="s">
        <v>126</v>
      </c>
      <c r="G33" t="s">
        <v>128</v>
      </c>
      <c r="H33" t="s">
        <v>125</v>
      </c>
      <c r="I33" t="s">
        <v>126</v>
      </c>
    </row>
    <row r="34" spans="2:9" hidden="1">
      <c r="B34">
        <v>9</v>
      </c>
      <c r="C34">
        <v>13</v>
      </c>
      <c r="D34" t="s">
        <v>126</v>
      </c>
      <c r="E34" t="s">
        <v>126</v>
      </c>
      <c r="F34" t="s">
        <v>126</v>
      </c>
      <c r="G34" t="s">
        <v>126</v>
      </c>
      <c r="H34" t="s">
        <v>126</v>
      </c>
      <c r="I34" t="s">
        <v>126</v>
      </c>
    </row>
    <row r="35" spans="2:9">
      <c r="B35">
        <v>10</v>
      </c>
      <c r="C35">
        <v>13</v>
      </c>
      <c r="D35" t="s">
        <v>172</v>
      </c>
      <c r="E35" t="s">
        <v>126</v>
      </c>
      <c r="F35" t="s">
        <v>126</v>
      </c>
      <c r="G35" t="s">
        <v>173</v>
      </c>
      <c r="H35" t="s">
        <v>174</v>
      </c>
      <c r="I35" t="s">
        <v>126</v>
      </c>
    </row>
    <row r="36" spans="2:9">
      <c r="B36">
        <v>10</v>
      </c>
      <c r="C36">
        <v>14</v>
      </c>
      <c r="D36" t="s">
        <v>126</v>
      </c>
      <c r="E36" t="s">
        <v>126</v>
      </c>
      <c r="F36" t="s">
        <v>126</v>
      </c>
      <c r="G36" t="s">
        <v>126</v>
      </c>
      <c r="H36" t="s">
        <v>126</v>
      </c>
      <c r="I36" t="s">
        <v>126</v>
      </c>
    </row>
    <row r="37" spans="2:9" hidden="1">
      <c r="B37">
        <v>9</v>
      </c>
      <c r="C37">
        <v>14</v>
      </c>
      <c r="D37" t="s">
        <v>126</v>
      </c>
      <c r="E37" t="s">
        <v>126</v>
      </c>
      <c r="F37" t="s">
        <v>126</v>
      </c>
      <c r="G37" t="s">
        <v>126</v>
      </c>
      <c r="H37" t="s">
        <v>126</v>
      </c>
      <c r="I37" t="s">
        <v>126</v>
      </c>
    </row>
    <row r="38" spans="2:9">
      <c r="B38">
        <v>10</v>
      </c>
      <c r="C38">
        <v>15</v>
      </c>
      <c r="D38" t="s">
        <v>126</v>
      </c>
      <c r="E38" t="s">
        <v>126</v>
      </c>
      <c r="F38" t="s">
        <v>126</v>
      </c>
      <c r="G38" t="s">
        <v>126</v>
      </c>
      <c r="H38" t="s">
        <v>126</v>
      </c>
      <c r="I38" t="s">
        <v>126</v>
      </c>
    </row>
    <row r="39" spans="2:9" hidden="1">
      <c r="B39">
        <v>9</v>
      </c>
      <c r="C39">
        <v>15</v>
      </c>
      <c r="D39" t="s">
        <v>126</v>
      </c>
      <c r="E39" t="s">
        <v>126</v>
      </c>
      <c r="F39" t="s">
        <v>126</v>
      </c>
      <c r="G39" t="s">
        <v>126</v>
      </c>
      <c r="H39" t="s">
        <v>126</v>
      </c>
      <c r="I39" t="s">
        <v>126</v>
      </c>
    </row>
    <row r="40" spans="2:9" hidden="1">
      <c r="B40">
        <v>9</v>
      </c>
      <c r="C40">
        <v>16</v>
      </c>
      <c r="D40" t="s">
        <v>126</v>
      </c>
      <c r="E40" t="s">
        <v>126</v>
      </c>
      <c r="F40" t="s">
        <v>126</v>
      </c>
      <c r="G40" t="s">
        <v>126</v>
      </c>
      <c r="H40" t="s">
        <v>126</v>
      </c>
      <c r="I40" t="s">
        <v>126</v>
      </c>
    </row>
    <row r="41" spans="2:9">
      <c r="B41">
        <v>10</v>
      </c>
      <c r="C41">
        <v>16</v>
      </c>
      <c r="D41" t="s">
        <v>175</v>
      </c>
      <c r="E41" t="s">
        <v>126</v>
      </c>
      <c r="F41" t="s">
        <v>126</v>
      </c>
      <c r="G41" t="s">
        <v>176</v>
      </c>
      <c r="H41" t="s">
        <v>177</v>
      </c>
      <c r="I41" t="s">
        <v>126</v>
      </c>
    </row>
    <row r="42" spans="2:9" hidden="1">
      <c r="B42">
        <v>9</v>
      </c>
      <c r="C42">
        <v>17</v>
      </c>
      <c r="D42" t="s">
        <v>126</v>
      </c>
      <c r="E42" t="s">
        <v>126</v>
      </c>
      <c r="F42" t="s">
        <v>126</v>
      </c>
      <c r="G42" t="s">
        <v>126</v>
      </c>
      <c r="H42" t="s">
        <v>126</v>
      </c>
      <c r="I42" t="s">
        <v>126</v>
      </c>
    </row>
    <row r="43" spans="2:9">
      <c r="B43">
        <v>10</v>
      </c>
      <c r="C43">
        <v>17</v>
      </c>
      <c r="D43" t="s">
        <v>178</v>
      </c>
      <c r="E43" t="s">
        <v>179</v>
      </c>
      <c r="F43" t="s">
        <v>180</v>
      </c>
      <c r="G43" t="s">
        <v>181</v>
      </c>
      <c r="H43" t="s">
        <v>182</v>
      </c>
      <c r="I43" t="s">
        <v>126</v>
      </c>
    </row>
    <row r="44" spans="2:9">
      <c r="B44">
        <v>10</v>
      </c>
      <c r="C44">
        <v>18</v>
      </c>
      <c r="D44" t="s">
        <v>126</v>
      </c>
      <c r="E44" t="s">
        <v>126</v>
      </c>
      <c r="F44" t="s">
        <v>126</v>
      </c>
      <c r="G44" t="s">
        <v>126</v>
      </c>
      <c r="H44" t="s">
        <v>126</v>
      </c>
      <c r="I44" t="s">
        <v>126</v>
      </c>
    </row>
    <row r="45" spans="2:9" hidden="1">
      <c r="B45">
        <v>9</v>
      </c>
      <c r="C45">
        <v>18</v>
      </c>
      <c r="D45" t="s">
        <v>126</v>
      </c>
      <c r="E45" t="s">
        <v>126</v>
      </c>
      <c r="F45" t="s">
        <v>126</v>
      </c>
      <c r="G45" t="s">
        <v>126</v>
      </c>
      <c r="H45" t="s">
        <v>126</v>
      </c>
      <c r="I45" t="s">
        <v>126</v>
      </c>
    </row>
    <row r="46" spans="2:9" hidden="1">
      <c r="B46">
        <v>9</v>
      </c>
      <c r="C46">
        <v>19</v>
      </c>
      <c r="D46" t="s">
        <v>126</v>
      </c>
      <c r="E46" t="s">
        <v>126</v>
      </c>
      <c r="F46" t="s">
        <v>126</v>
      </c>
      <c r="G46" t="s">
        <v>126</v>
      </c>
      <c r="H46" t="s">
        <v>126</v>
      </c>
      <c r="I46" t="s">
        <v>126</v>
      </c>
    </row>
    <row r="47" spans="2:9">
      <c r="B47">
        <v>10</v>
      </c>
      <c r="C47">
        <v>19</v>
      </c>
      <c r="D47" t="s">
        <v>183</v>
      </c>
      <c r="E47" t="s">
        <v>126</v>
      </c>
      <c r="F47" t="s">
        <v>184</v>
      </c>
      <c r="G47" t="s">
        <v>185</v>
      </c>
      <c r="H47" t="s">
        <v>186</v>
      </c>
      <c r="I47" t="s">
        <v>126</v>
      </c>
    </row>
    <row r="48" spans="2:9">
      <c r="B48">
        <v>10</v>
      </c>
      <c r="C48">
        <v>20</v>
      </c>
      <c r="D48" t="s">
        <v>187</v>
      </c>
      <c r="E48" t="s">
        <v>188</v>
      </c>
      <c r="F48" t="s">
        <v>189</v>
      </c>
      <c r="G48" t="s">
        <v>190</v>
      </c>
      <c r="H48" t="s">
        <v>191</v>
      </c>
      <c r="I48" t="s">
        <v>126</v>
      </c>
    </row>
    <row r="49" spans="2:9" hidden="1">
      <c r="B49">
        <v>9</v>
      </c>
      <c r="C49">
        <v>20</v>
      </c>
      <c r="D49" t="s">
        <v>126</v>
      </c>
      <c r="E49" t="s">
        <v>126</v>
      </c>
      <c r="F49" t="s">
        <v>126</v>
      </c>
      <c r="G49" t="s">
        <v>126</v>
      </c>
      <c r="H49" t="s">
        <v>126</v>
      </c>
      <c r="I49" t="s">
        <v>126</v>
      </c>
    </row>
    <row r="50" spans="2:9">
      <c r="B50">
        <v>10</v>
      </c>
      <c r="C50">
        <v>21</v>
      </c>
      <c r="D50" t="s">
        <v>192</v>
      </c>
      <c r="E50" t="s">
        <v>126</v>
      </c>
      <c r="F50" t="s">
        <v>126</v>
      </c>
      <c r="G50" t="s">
        <v>126</v>
      </c>
      <c r="H50" t="s">
        <v>193</v>
      </c>
      <c r="I50" t="s">
        <v>126</v>
      </c>
    </row>
    <row r="51" spans="2:9" hidden="1">
      <c r="B51">
        <v>9</v>
      </c>
      <c r="C51">
        <v>21</v>
      </c>
      <c r="D51" t="s">
        <v>126</v>
      </c>
      <c r="E51" t="s">
        <v>126</v>
      </c>
      <c r="F51" t="s">
        <v>126</v>
      </c>
      <c r="G51" t="s">
        <v>126</v>
      </c>
      <c r="H51" t="s">
        <v>126</v>
      </c>
      <c r="I51" t="s">
        <v>126</v>
      </c>
    </row>
    <row r="52" spans="2:9" hidden="1">
      <c r="B52">
        <v>9</v>
      </c>
      <c r="C52">
        <v>22</v>
      </c>
      <c r="D52" t="s">
        <v>126</v>
      </c>
      <c r="E52" t="s">
        <v>126</v>
      </c>
      <c r="F52" t="s">
        <v>126</v>
      </c>
      <c r="G52" t="s">
        <v>126</v>
      </c>
      <c r="H52" t="s">
        <v>126</v>
      </c>
      <c r="I52" t="s">
        <v>126</v>
      </c>
    </row>
    <row r="53" spans="2:9">
      <c r="B53">
        <v>10</v>
      </c>
      <c r="C53">
        <v>22</v>
      </c>
      <c r="D53" t="s">
        <v>126</v>
      </c>
      <c r="E53" t="s">
        <v>126</v>
      </c>
      <c r="F53" t="s">
        <v>126</v>
      </c>
      <c r="G53" t="s">
        <v>126</v>
      </c>
      <c r="H53" t="s">
        <v>126</v>
      </c>
      <c r="I53" t="s">
        <v>126</v>
      </c>
    </row>
    <row r="54" spans="2:9" hidden="1">
      <c r="B54">
        <v>9</v>
      </c>
      <c r="C54">
        <v>23</v>
      </c>
      <c r="D54" t="s">
        <v>126</v>
      </c>
      <c r="E54" t="s">
        <v>126</v>
      </c>
      <c r="F54" t="s">
        <v>126</v>
      </c>
      <c r="G54" t="s">
        <v>126</v>
      </c>
      <c r="H54" t="s">
        <v>126</v>
      </c>
      <c r="I54" t="s">
        <v>126</v>
      </c>
    </row>
    <row r="55" spans="2:9">
      <c r="B55">
        <v>10</v>
      </c>
      <c r="C55">
        <v>23</v>
      </c>
      <c r="D55" t="s">
        <v>194</v>
      </c>
      <c r="E55" t="s">
        <v>126</v>
      </c>
      <c r="F55" t="s">
        <v>195</v>
      </c>
      <c r="G55" t="s">
        <v>196</v>
      </c>
      <c r="H55" t="s">
        <v>197</v>
      </c>
      <c r="I55" t="s">
        <v>126</v>
      </c>
    </row>
    <row r="56" spans="2:9" hidden="1">
      <c r="B56">
        <v>9</v>
      </c>
      <c r="C56">
        <v>24</v>
      </c>
      <c r="D56" t="s">
        <v>126</v>
      </c>
      <c r="E56" t="s">
        <v>126</v>
      </c>
      <c r="F56" t="s">
        <v>126</v>
      </c>
      <c r="G56" t="s">
        <v>126</v>
      </c>
      <c r="H56" t="s">
        <v>126</v>
      </c>
      <c r="I56" t="s">
        <v>126</v>
      </c>
    </row>
    <row r="57" spans="2:9">
      <c r="B57">
        <v>10</v>
      </c>
      <c r="C57">
        <v>24</v>
      </c>
      <c r="D57" t="s">
        <v>198</v>
      </c>
      <c r="E57" t="s">
        <v>199</v>
      </c>
      <c r="F57" t="s">
        <v>200</v>
      </c>
      <c r="G57" t="s">
        <v>201</v>
      </c>
      <c r="H57" t="s">
        <v>202</v>
      </c>
      <c r="I57" t="s">
        <v>126</v>
      </c>
    </row>
    <row r="58" spans="2:9" hidden="1">
      <c r="B58">
        <v>9</v>
      </c>
      <c r="C58">
        <v>25</v>
      </c>
      <c r="D58" t="s">
        <v>126</v>
      </c>
      <c r="E58" t="s">
        <v>126</v>
      </c>
      <c r="F58" t="s">
        <v>126</v>
      </c>
      <c r="G58" t="s">
        <v>126</v>
      </c>
      <c r="H58" t="s">
        <v>126</v>
      </c>
      <c r="I58" t="s">
        <v>126</v>
      </c>
    </row>
    <row r="59" spans="2:9">
      <c r="B59">
        <v>10</v>
      </c>
      <c r="C59">
        <v>25</v>
      </c>
      <c r="D59" t="s">
        <v>203</v>
      </c>
      <c r="E59" t="s">
        <v>160</v>
      </c>
      <c r="F59" t="s">
        <v>204</v>
      </c>
      <c r="G59" t="s">
        <v>205</v>
      </c>
      <c r="H59" t="s">
        <v>206</v>
      </c>
      <c r="I59" t="s">
        <v>126</v>
      </c>
    </row>
    <row r="60" spans="2:9">
      <c r="B60">
        <v>10</v>
      </c>
      <c r="C60">
        <v>26</v>
      </c>
      <c r="D60" t="s">
        <v>207</v>
      </c>
      <c r="E60" t="s">
        <v>208</v>
      </c>
      <c r="F60" t="s">
        <v>126</v>
      </c>
      <c r="G60" t="s">
        <v>209</v>
      </c>
      <c r="H60" t="s">
        <v>210</v>
      </c>
      <c r="I60" t="s">
        <v>126</v>
      </c>
    </row>
    <row r="61" spans="2:9" hidden="1">
      <c r="B61">
        <v>9</v>
      </c>
      <c r="C61">
        <v>26</v>
      </c>
      <c r="D61" t="s">
        <v>126</v>
      </c>
      <c r="E61" t="s">
        <v>126</v>
      </c>
      <c r="F61" t="s">
        <v>126</v>
      </c>
      <c r="G61" t="s">
        <v>126</v>
      </c>
      <c r="H61" t="s">
        <v>126</v>
      </c>
      <c r="I61" t="s">
        <v>126</v>
      </c>
    </row>
    <row r="62" spans="2:9" hidden="1">
      <c r="B62">
        <v>9</v>
      </c>
      <c r="C62">
        <v>27</v>
      </c>
      <c r="D62" t="s">
        <v>126</v>
      </c>
      <c r="E62" t="s">
        <v>126</v>
      </c>
      <c r="F62" t="s">
        <v>126</v>
      </c>
      <c r="G62" t="s">
        <v>126</v>
      </c>
      <c r="H62" t="s">
        <v>126</v>
      </c>
      <c r="I62" t="s">
        <v>126</v>
      </c>
    </row>
    <row r="63" spans="2:9">
      <c r="B63">
        <v>10</v>
      </c>
      <c r="C63">
        <v>27</v>
      </c>
      <c r="D63" t="s">
        <v>211</v>
      </c>
      <c r="E63" t="s">
        <v>150</v>
      </c>
      <c r="F63" t="s">
        <v>212</v>
      </c>
      <c r="G63" t="s">
        <v>213</v>
      </c>
      <c r="H63" t="s">
        <v>214</v>
      </c>
      <c r="I63" t="s">
        <v>126</v>
      </c>
    </row>
    <row r="64" spans="2:9" hidden="1">
      <c r="B64">
        <v>9</v>
      </c>
      <c r="C64">
        <v>28</v>
      </c>
      <c r="D64" t="s">
        <v>126</v>
      </c>
      <c r="E64" t="s">
        <v>126</v>
      </c>
      <c r="F64" t="s">
        <v>126</v>
      </c>
      <c r="G64" t="s">
        <v>126</v>
      </c>
      <c r="H64" t="s">
        <v>126</v>
      </c>
      <c r="I64" t="s">
        <v>126</v>
      </c>
    </row>
    <row r="65" spans="2:9">
      <c r="B65">
        <v>10</v>
      </c>
      <c r="C65">
        <v>28</v>
      </c>
      <c r="D65" t="s">
        <v>126</v>
      </c>
      <c r="E65" t="s">
        <v>126</v>
      </c>
      <c r="F65" t="s">
        <v>126</v>
      </c>
      <c r="G65" t="s">
        <v>126</v>
      </c>
      <c r="H65" t="s">
        <v>126</v>
      </c>
      <c r="I65" t="s">
        <v>126</v>
      </c>
    </row>
    <row r="66" spans="2:9" hidden="1">
      <c r="B66">
        <v>9</v>
      </c>
      <c r="C66">
        <v>29</v>
      </c>
      <c r="D66" t="s">
        <v>126</v>
      </c>
      <c r="E66" t="s">
        <v>126</v>
      </c>
      <c r="F66" t="s">
        <v>126</v>
      </c>
      <c r="G66" t="s">
        <v>126</v>
      </c>
      <c r="H66" t="s">
        <v>126</v>
      </c>
      <c r="I66" t="s">
        <v>126</v>
      </c>
    </row>
    <row r="67" spans="2:9">
      <c r="B67">
        <v>10</v>
      </c>
      <c r="C67">
        <v>29</v>
      </c>
      <c r="D67" t="s">
        <v>126</v>
      </c>
      <c r="E67" t="s">
        <v>126</v>
      </c>
      <c r="F67" t="s">
        <v>126</v>
      </c>
      <c r="G67" t="s">
        <v>126</v>
      </c>
      <c r="H67" t="s">
        <v>126</v>
      </c>
      <c r="I67" t="s">
        <v>126</v>
      </c>
    </row>
    <row r="68" spans="2:9">
      <c r="B68">
        <v>10</v>
      </c>
      <c r="C68">
        <v>30</v>
      </c>
      <c r="D68" t="s">
        <v>207</v>
      </c>
      <c r="E68" t="s">
        <v>242</v>
      </c>
      <c r="F68" t="s">
        <v>126</v>
      </c>
      <c r="G68" t="s">
        <v>243</v>
      </c>
      <c r="H68" t="s">
        <v>244</v>
      </c>
      <c r="I68" t="s">
        <v>126</v>
      </c>
    </row>
    <row r="69" spans="2:9" hidden="1">
      <c r="B69">
        <v>9</v>
      </c>
      <c r="C69">
        <v>30</v>
      </c>
      <c r="D69" t="s">
        <v>126</v>
      </c>
      <c r="E69" t="s">
        <v>126</v>
      </c>
      <c r="F69" t="s">
        <v>126</v>
      </c>
      <c r="G69" t="s">
        <v>126</v>
      </c>
      <c r="H69" t="s">
        <v>126</v>
      </c>
      <c r="I69" t="s">
        <v>126</v>
      </c>
    </row>
    <row r="70" spans="2:9">
      <c r="B70">
        <v>10</v>
      </c>
      <c r="C70">
        <v>31</v>
      </c>
      <c r="D70" t="s">
        <v>245</v>
      </c>
      <c r="E70" t="s">
        <v>246</v>
      </c>
      <c r="F70" t="s">
        <v>247</v>
      </c>
      <c r="G70" t="s">
        <v>248</v>
      </c>
      <c r="H70" t="s">
        <v>249</v>
      </c>
      <c r="I70" t="s">
        <v>126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zoomScale="60" zoomScaleNormal="60" workbookViewId="0"/>
  </sheetViews>
  <sheetFormatPr defaultRowHeight="12.5"/>
  <cols>
    <col min="2" max="2" width="10.363281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44.36328125" bestFit="1" customWidth="1"/>
    <col min="14" max="14" width="14.6328125" bestFit="1" customWidth="1"/>
    <col min="15" max="15" width="34" bestFit="1" customWidth="1"/>
  </cols>
  <sheetData>
    <row r="2" spans="2:15">
      <c r="B2" t="s">
        <v>82</v>
      </c>
      <c r="C2" t="s">
        <v>83</v>
      </c>
      <c r="D2" t="s">
        <v>84</v>
      </c>
      <c r="E2" t="s">
        <v>85</v>
      </c>
      <c r="F2" t="s">
        <v>86</v>
      </c>
      <c r="G2" t="s">
        <v>15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92</v>
      </c>
      <c r="N2" t="s">
        <v>93</v>
      </c>
      <c r="O2" t="s">
        <v>94</v>
      </c>
    </row>
    <row r="3" spans="2:15">
      <c r="B3" s="291">
        <v>43020</v>
      </c>
      <c r="C3" t="s">
        <v>224</v>
      </c>
      <c r="D3">
        <v>0</v>
      </c>
      <c r="E3" t="s">
        <v>298</v>
      </c>
      <c r="F3" t="s">
        <v>299</v>
      </c>
      <c r="G3" t="s">
        <v>225</v>
      </c>
      <c r="H3">
        <v>0</v>
      </c>
      <c r="I3">
        <v>0</v>
      </c>
      <c r="J3">
        <v>0</v>
      </c>
      <c r="K3">
        <v>0</v>
      </c>
      <c r="L3" t="s">
        <v>226</v>
      </c>
      <c r="M3" t="s">
        <v>226</v>
      </c>
      <c r="N3" t="s">
        <v>226</v>
      </c>
      <c r="O3" t="s">
        <v>226</v>
      </c>
    </row>
    <row r="4" spans="2:15">
      <c r="B4" s="291">
        <v>43020</v>
      </c>
      <c r="C4" t="s">
        <v>224</v>
      </c>
      <c r="D4">
        <v>1</v>
      </c>
      <c r="E4" t="s">
        <v>300</v>
      </c>
      <c r="F4" t="s">
        <v>299</v>
      </c>
      <c r="G4" t="s">
        <v>225</v>
      </c>
      <c r="H4">
        <v>0</v>
      </c>
      <c r="I4">
        <v>0</v>
      </c>
      <c r="J4">
        <v>0</v>
      </c>
      <c r="K4">
        <v>0</v>
      </c>
      <c r="L4" t="s">
        <v>226</v>
      </c>
      <c r="M4" t="s">
        <v>226</v>
      </c>
      <c r="N4" t="s">
        <v>226</v>
      </c>
      <c r="O4" t="s">
        <v>226</v>
      </c>
    </row>
    <row r="5" spans="2:15">
      <c r="B5" s="291">
        <v>43020</v>
      </c>
      <c r="C5" t="s">
        <v>224</v>
      </c>
      <c r="D5">
        <v>2</v>
      </c>
      <c r="E5" t="s">
        <v>279</v>
      </c>
      <c r="F5" t="s">
        <v>286</v>
      </c>
      <c r="G5" t="s">
        <v>225</v>
      </c>
      <c r="H5">
        <v>30</v>
      </c>
      <c r="I5">
        <v>0</v>
      </c>
      <c r="J5">
        <v>0</v>
      </c>
      <c r="K5">
        <v>0</v>
      </c>
      <c r="L5" t="s">
        <v>280</v>
      </c>
      <c r="M5" t="s">
        <v>301</v>
      </c>
      <c r="N5" t="s">
        <v>226</v>
      </c>
      <c r="O5" t="s">
        <v>226</v>
      </c>
    </row>
    <row r="6" spans="2:15">
      <c r="B6" s="291">
        <v>43020</v>
      </c>
      <c r="C6" t="s">
        <v>224</v>
      </c>
      <c r="D6">
        <v>3</v>
      </c>
      <c r="E6" t="s">
        <v>285</v>
      </c>
      <c r="F6" t="s">
        <v>288</v>
      </c>
      <c r="G6" t="s">
        <v>225</v>
      </c>
      <c r="H6">
        <v>30</v>
      </c>
      <c r="I6">
        <v>0</v>
      </c>
      <c r="J6">
        <v>0</v>
      </c>
      <c r="K6">
        <v>0</v>
      </c>
      <c r="L6" t="s">
        <v>280</v>
      </c>
      <c r="M6" t="s">
        <v>287</v>
      </c>
      <c r="N6" t="s">
        <v>226</v>
      </c>
      <c r="O6" t="s">
        <v>226</v>
      </c>
    </row>
    <row r="7" spans="2:15">
      <c r="B7" s="291">
        <v>43020</v>
      </c>
      <c r="C7" t="s">
        <v>224</v>
      </c>
      <c r="D7">
        <v>4</v>
      </c>
      <c r="E7" t="s">
        <v>302</v>
      </c>
      <c r="F7" t="s">
        <v>288</v>
      </c>
      <c r="G7" t="s">
        <v>225</v>
      </c>
      <c r="H7">
        <v>0</v>
      </c>
      <c r="I7">
        <v>0</v>
      </c>
      <c r="J7">
        <v>0</v>
      </c>
      <c r="K7">
        <v>0</v>
      </c>
      <c r="L7" t="s">
        <v>226</v>
      </c>
      <c r="M7" t="s">
        <v>226</v>
      </c>
      <c r="N7" t="s">
        <v>226</v>
      </c>
      <c r="O7" t="s">
        <v>226</v>
      </c>
    </row>
    <row r="8" spans="2:15">
      <c r="B8" s="291">
        <v>43020</v>
      </c>
      <c r="C8" t="s">
        <v>224</v>
      </c>
      <c r="D8">
        <v>5</v>
      </c>
      <c r="E8" t="s">
        <v>289</v>
      </c>
      <c r="F8" t="s">
        <v>288</v>
      </c>
      <c r="G8" t="s">
        <v>225</v>
      </c>
      <c r="H8">
        <v>15</v>
      </c>
      <c r="I8">
        <v>0</v>
      </c>
      <c r="J8">
        <v>0</v>
      </c>
      <c r="K8">
        <v>0</v>
      </c>
      <c r="L8" t="s">
        <v>280</v>
      </c>
      <c r="M8" t="s">
        <v>303</v>
      </c>
      <c r="N8" t="s">
        <v>226</v>
      </c>
      <c r="O8" t="s">
        <v>226</v>
      </c>
    </row>
    <row r="9" spans="2:15">
      <c r="B9" s="291">
        <v>43020</v>
      </c>
      <c r="C9" t="s">
        <v>224</v>
      </c>
      <c r="D9">
        <v>6</v>
      </c>
      <c r="E9" t="s">
        <v>304</v>
      </c>
      <c r="F9" t="s">
        <v>284</v>
      </c>
      <c r="G9" t="s">
        <v>225</v>
      </c>
      <c r="H9">
        <v>0</v>
      </c>
      <c r="I9">
        <v>0</v>
      </c>
      <c r="J9">
        <v>0</v>
      </c>
      <c r="K9">
        <v>0</v>
      </c>
      <c r="L9" t="s">
        <v>226</v>
      </c>
      <c r="M9" t="s">
        <v>226</v>
      </c>
      <c r="N9" t="s">
        <v>226</v>
      </c>
      <c r="O9" t="s">
        <v>226</v>
      </c>
    </row>
    <row r="10" spans="2:15">
      <c r="B10" s="291">
        <v>43020</v>
      </c>
      <c r="C10" t="s">
        <v>224</v>
      </c>
      <c r="D10">
        <v>7</v>
      </c>
      <c r="E10" t="s">
        <v>293</v>
      </c>
      <c r="F10" t="s">
        <v>284</v>
      </c>
      <c r="G10" t="s">
        <v>225</v>
      </c>
      <c r="H10">
        <v>0</v>
      </c>
      <c r="I10">
        <v>0</v>
      </c>
      <c r="J10">
        <v>0</v>
      </c>
      <c r="K10">
        <v>0</v>
      </c>
      <c r="L10" t="s">
        <v>226</v>
      </c>
      <c r="M10" t="s">
        <v>226</v>
      </c>
      <c r="N10" t="s">
        <v>226</v>
      </c>
      <c r="O10" t="s">
        <v>226</v>
      </c>
    </row>
    <row r="11" spans="2:15">
      <c r="B11" s="291">
        <v>43020</v>
      </c>
      <c r="C11" t="s">
        <v>224</v>
      </c>
      <c r="D11">
        <v>8</v>
      </c>
      <c r="E11" t="s">
        <v>305</v>
      </c>
      <c r="F11" t="s">
        <v>306</v>
      </c>
      <c r="G11" t="s">
        <v>225</v>
      </c>
      <c r="H11">
        <v>30</v>
      </c>
      <c r="I11">
        <v>0</v>
      </c>
      <c r="J11">
        <v>0</v>
      </c>
      <c r="K11">
        <v>0</v>
      </c>
      <c r="L11" t="s">
        <v>280</v>
      </c>
      <c r="M11" t="s">
        <v>307</v>
      </c>
      <c r="N11" t="s">
        <v>226</v>
      </c>
      <c r="O11" t="s">
        <v>226</v>
      </c>
    </row>
    <row r="12" spans="2:15">
      <c r="B12" s="291">
        <v>43020</v>
      </c>
      <c r="C12" t="s">
        <v>224</v>
      </c>
      <c r="D12">
        <v>9</v>
      </c>
      <c r="E12" t="s">
        <v>283</v>
      </c>
      <c r="F12" t="s">
        <v>306</v>
      </c>
      <c r="G12" t="s">
        <v>308</v>
      </c>
      <c r="H12">
        <v>0</v>
      </c>
      <c r="I12">
        <v>10</v>
      </c>
      <c r="J12">
        <v>0</v>
      </c>
      <c r="K12">
        <v>0</v>
      </c>
      <c r="L12" t="s">
        <v>226</v>
      </c>
      <c r="M12" t="s">
        <v>226</v>
      </c>
      <c r="N12" t="s">
        <v>309</v>
      </c>
      <c r="O12" t="s">
        <v>310</v>
      </c>
    </row>
    <row r="13" spans="2:15">
      <c r="B13" s="291">
        <v>43020</v>
      </c>
      <c r="C13" t="s">
        <v>224</v>
      </c>
      <c r="D13">
        <v>10</v>
      </c>
      <c r="E13" t="s">
        <v>304</v>
      </c>
      <c r="F13" t="s">
        <v>306</v>
      </c>
      <c r="G13" t="s">
        <v>308</v>
      </c>
      <c r="H13">
        <v>0</v>
      </c>
      <c r="I13">
        <v>6</v>
      </c>
      <c r="J13">
        <v>0</v>
      </c>
      <c r="K13">
        <v>0</v>
      </c>
      <c r="L13" t="s">
        <v>226</v>
      </c>
      <c r="M13" t="s">
        <v>226</v>
      </c>
      <c r="N13" t="s">
        <v>311</v>
      </c>
      <c r="O13" t="s">
        <v>312</v>
      </c>
    </row>
    <row r="14" spans="2:15">
      <c r="B14" s="291">
        <v>43020</v>
      </c>
      <c r="C14" t="s">
        <v>224</v>
      </c>
      <c r="D14">
        <v>11</v>
      </c>
      <c r="E14" t="s">
        <v>313</v>
      </c>
      <c r="F14" t="s">
        <v>314</v>
      </c>
      <c r="G14" t="s">
        <v>225</v>
      </c>
      <c r="H14">
        <v>30</v>
      </c>
      <c r="I14">
        <v>13</v>
      </c>
      <c r="J14">
        <v>0</v>
      </c>
      <c r="K14">
        <v>0</v>
      </c>
      <c r="L14" t="s">
        <v>280</v>
      </c>
      <c r="M14" t="s">
        <v>315</v>
      </c>
      <c r="N14" t="s">
        <v>291</v>
      </c>
      <c r="O14" t="s">
        <v>292</v>
      </c>
    </row>
    <row r="15" spans="2:15">
      <c r="B15" s="291">
        <v>43020</v>
      </c>
      <c r="C15" t="s">
        <v>224</v>
      </c>
      <c r="D15">
        <v>12</v>
      </c>
      <c r="E15" t="s">
        <v>279</v>
      </c>
      <c r="F15" t="s">
        <v>314</v>
      </c>
      <c r="G15" t="s">
        <v>225</v>
      </c>
      <c r="H15">
        <v>0</v>
      </c>
      <c r="I15">
        <v>0</v>
      </c>
      <c r="J15">
        <v>0</v>
      </c>
      <c r="K15">
        <v>0</v>
      </c>
      <c r="L15" t="s">
        <v>226</v>
      </c>
      <c r="M15" t="s">
        <v>226</v>
      </c>
      <c r="N15" t="s">
        <v>226</v>
      </c>
      <c r="O15" t="s">
        <v>226</v>
      </c>
    </row>
    <row r="16" spans="2:15">
      <c r="B16" s="291">
        <v>43020</v>
      </c>
      <c r="C16" t="s">
        <v>224</v>
      </c>
      <c r="D16">
        <v>13</v>
      </c>
      <c r="E16" t="s">
        <v>304</v>
      </c>
      <c r="F16" t="s">
        <v>314</v>
      </c>
      <c r="G16" t="s">
        <v>225</v>
      </c>
      <c r="H16">
        <v>0</v>
      </c>
      <c r="I16">
        <v>6</v>
      </c>
      <c r="J16">
        <v>0</v>
      </c>
      <c r="K16">
        <v>0</v>
      </c>
      <c r="L16" t="s">
        <v>226</v>
      </c>
      <c r="M16" t="s">
        <v>226</v>
      </c>
      <c r="N16" t="s">
        <v>296</v>
      </c>
      <c r="O16" t="s">
        <v>297</v>
      </c>
    </row>
    <row r="17" spans="2:15">
      <c r="B17" s="291">
        <v>43020</v>
      </c>
      <c r="C17" t="s">
        <v>224</v>
      </c>
      <c r="D17">
        <v>14</v>
      </c>
      <c r="E17" t="s">
        <v>316</v>
      </c>
      <c r="F17" t="s">
        <v>314</v>
      </c>
      <c r="G17" t="s">
        <v>225</v>
      </c>
      <c r="H17">
        <v>0</v>
      </c>
      <c r="I17">
        <v>10</v>
      </c>
      <c r="J17">
        <v>0</v>
      </c>
      <c r="K17">
        <v>0</v>
      </c>
      <c r="L17" t="s">
        <v>226</v>
      </c>
      <c r="M17" t="s">
        <v>226</v>
      </c>
      <c r="N17" t="s">
        <v>317</v>
      </c>
      <c r="O17" t="s">
        <v>318</v>
      </c>
    </row>
    <row r="18" spans="2:15">
      <c r="B18" s="291">
        <v>43020</v>
      </c>
      <c r="C18" t="s">
        <v>224</v>
      </c>
      <c r="D18">
        <v>15</v>
      </c>
      <c r="E18" t="s">
        <v>300</v>
      </c>
      <c r="F18" t="s">
        <v>314</v>
      </c>
      <c r="G18" t="s">
        <v>225</v>
      </c>
      <c r="H18">
        <v>0</v>
      </c>
      <c r="I18">
        <v>0</v>
      </c>
      <c r="J18">
        <v>0</v>
      </c>
      <c r="K18">
        <v>0</v>
      </c>
      <c r="L18" t="s">
        <v>226</v>
      </c>
      <c r="M18" t="s">
        <v>226</v>
      </c>
      <c r="N18" t="s">
        <v>226</v>
      </c>
      <c r="O18" t="s">
        <v>226</v>
      </c>
    </row>
    <row r="19" spans="2:15">
      <c r="B19" s="291">
        <v>43020</v>
      </c>
      <c r="C19" t="s">
        <v>224</v>
      </c>
      <c r="D19">
        <v>16</v>
      </c>
      <c r="E19" t="s">
        <v>319</v>
      </c>
      <c r="F19" t="s">
        <v>314</v>
      </c>
      <c r="G19" t="s">
        <v>225</v>
      </c>
      <c r="H19">
        <v>0</v>
      </c>
      <c r="I19">
        <v>48</v>
      </c>
      <c r="J19">
        <v>0</v>
      </c>
      <c r="K19">
        <v>0</v>
      </c>
      <c r="L19" t="s">
        <v>226</v>
      </c>
      <c r="M19" t="s">
        <v>226</v>
      </c>
      <c r="N19" t="s">
        <v>294</v>
      </c>
      <c r="O19" t="s">
        <v>320</v>
      </c>
    </row>
    <row r="20" spans="2:15">
      <c r="B20" s="291">
        <v>43020</v>
      </c>
      <c r="C20" t="s">
        <v>224</v>
      </c>
      <c r="D20">
        <v>17</v>
      </c>
      <c r="E20" t="s">
        <v>321</v>
      </c>
      <c r="F20" t="s">
        <v>314</v>
      </c>
      <c r="G20" t="s">
        <v>225</v>
      </c>
      <c r="H20">
        <v>15</v>
      </c>
      <c r="I20">
        <v>0</v>
      </c>
      <c r="J20">
        <v>0</v>
      </c>
      <c r="K20">
        <v>0</v>
      </c>
      <c r="L20" t="s">
        <v>280</v>
      </c>
      <c r="M20" t="s">
        <v>322</v>
      </c>
      <c r="N20" t="s">
        <v>226</v>
      </c>
      <c r="O20" t="s">
        <v>226</v>
      </c>
    </row>
    <row r="21" spans="2:15">
      <c r="B21" s="291">
        <v>43020</v>
      </c>
      <c r="C21" t="s">
        <v>224</v>
      </c>
      <c r="D21">
        <v>18</v>
      </c>
      <c r="E21" t="s">
        <v>295</v>
      </c>
      <c r="F21" t="s">
        <v>290</v>
      </c>
      <c r="G21" t="s">
        <v>225</v>
      </c>
      <c r="H21">
        <v>15</v>
      </c>
      <c r="I21">
        <v>0</v>
      </c>
      <c r="J21">
        <v>0</v>
      </c>
      <c r="K21">
        <v>0</v>
      </c>
      <c r="L21" t="s">
        <v>280</v>
      </c>
      <c r="M21" t="s">
        <v>322</v>
      </c>
      <c r="N21" t="s">
        <v>226</v>
      </c>
      <c r="O21" t="s">
        <v>226</v>
      </c>
    </row>
    <row r="22" spans="2:15">
      <c r="B22" s="291">
        <v>43020</v>
      </c>
      <c r="C22" t="s">
        <v>224</v>
      </c>
      <c r="D22">
        <v>19</v>
      </c>
      <c r="E22" t="s">
        <v>282</v>
      </c>
      <c r="F22" t="s">
        <v>290</v>
      </c>
      <c r="G22" t="s">
        <v>225</v>
      </c>
      <c r="H22">
        <v>0</v>
      </c>
      <c r="I22">
        <v>0</v>
      </c>
      <c r="J22">
        <v>0</v>
      </c>
      <c r="K22">
        <v>0</v>
      </c>
      <c r="L22" t="s">
        <v>226</v>
      </c>
      <c r="M22" t="s">
        <v>226</v>
      </c>
      <c r="N22" t="s">
        <v>226</v>
      </c>
      <c r="O22" t="s">
        <v>226</v>
      </c>
    </row>
    <row r="23" spans="2:15">
      <c r="B23" s="291">
        <v>43020</v>
      </c>
      <c r="C23" t="s">
        <v>224</v>
      </c>
      <c r="D23">
        <v>20</v>
      </c>
      <c r="E23" t="s">
        <v>300</v>
      </c>
      <c r="F23" t="s">
        <v>290</v>
      </c>
      <c r="G23" t="s">
        <v>225</v>
      </c>
      <c r="H23">
        <v>0</v>
      </c>
      <c r="I23">
        <v>0</v>
      </c>
      <c r="J23">
        <v>0</v>
      </c>
      <c r="K23">
        <v>0</v>
      </c>
      <c r="L23" t="s">
        <v>226</v>
      </c>
      <c r="M23" t="s">
        <v>226</v>
      </c>
      <c r="N23" t="s">
        <v>226</v>
      </c>
      <c r="O23" t="s">
        <v>226</v>
      </c>
    </row>
    <row r="24" spans="2:15">
      <c r="B24" s="291">
        <v>43020</v>
      </c>
      <c r="C24" t="s">
        <v>224</v>
      </c>
      <c r="D24">
        <v>21</v>
      </c>
      <c r="E24" t="s">
        <v>323</v>
      </c>
      <c r="F24" t="s">
        <v>290</v>
      </c>
      <c r="G24" t="s">
        <v>225</v>
      </c>
      <c r="H24">
        <v>0</v>
      </c>
      <c r="I24">
        <v>0</v>
      </c>
      <c r="J24">
        <v>0</v>
      </c>
      <c r="K24">
        <v>0</v>
      </c>
      <c r="L24" t="s">
        <v>226</v>
      </c>
      <c r="M24" t="s">
        <v>226</v>
      </c>
      <c r="N24" t="s">
        <v>226</v>
      </c>
      <c r="O24" t="s">
        <v>226</v>
      </c>
    </row>
    <row r="25" spans="2:15">
      <c r="B25" s="291">
        <v>43020</v>
      </c>
      <c r="C25" t="s">
        <v>224</v>
      </c>
      <c r="D25">
        <v>22</v>
      </c>
      <c r="E25" t="s">
        <v>282</v>
      </c>
      <c r="F25" t="s">
        <v>290</v>
      </c>
      <c r="G25" t="s">
        <v>225</v>
      </c>
      <c r="H25">
        <v>30</v>
      </c>
      <c r="I25">
        <v>0</v>
      </c>
      <c r="J25">
        <v>0</v>
      </c>
      <c r="K25">
        <v>0</v>
      </c>
      <c r="L25" t="s">
        <v>280</v>
      </c>
      <c r="M25" t="s">
        <v>324</v>
      </c>
      <c r="N25" t="s">
        <v>226</v>
      </c>
      <c r="O25" t="s">
        <v>226</v>
      </c>
    </row>
    <row r="26" spans="2:15">
      <c r="B26" s="291">
        <v>43020</v>
      </c>
      <c r="C26" t="s">
        <v>224</v>
      </c>
      <c r="D26">
        <v>23</v>
      </c>
      <c r="E26" t="s">
        <v>325</v>
      </c>
      <c r="F26" t="s">
        <v>299</v>
      </c>
      <c r="G26" t="s">
        <v>225</v>
      </c>
      <c r="H26">
        <v>0</v>
      </c>
      <c r="I26">
        <v>0</v>
      </c>
      <c r="J26">
        <v>0</v>
      </c>
      <c r="K26">
        <v>0</v>
      </c>
      <c r="L26" t="s">
        <v>226</v>
      </c>
      <c r="M26" t="s">
        <v>226</v>
      </c>
      <c r="N26" t="s">
        <v>226</v>
      </c>
      <c r="O26" t="s">
        <v>226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zoomScale="50" zoomScaleNormal="50" workbookViewId="0">
      <selection activeCell="F3" sqref="F3:AJ3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485" t="str">
        <f>hourlyJava!C26</f>
        <v>L003</v>
      </c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  <c r="R3" s="486"/>
      <c r="S3" s="486"/>
      <c r="T3" s="486"/>
      <c r="U3" s="486"/>
      <c r="V3" s="486"/>
      <c r="W3" s="486"/>
      <c r="X3" s="486"/>
      <c r="Y3" s="486"/>
      <c r="Z3" s="486"/>
      <c r="AA3" s="486"/>
      <c r="AB3" s="486"/>
      <c r="AC3" s="486"/>
      <c r="AD3" s="486"/>
      <c r="AE3" s="486"/>
      <c r="AF3" s="486"/>
      <c r="AG3" s="486"/>
      <c r="AH3" s="486"/>
      <c r="AI3" s="486"/>
      <c r="AJ3" s="487"/>
      <c r="AK3" s="182"/>
      <c r="AL3" s="182"/>
      <c r="AM3" s="182"/>
      <c r="AN3" s="182"/>
      <c r="AO3" s="182"/>
      <c r="AP3" s="182"/>
      <c r="AQ3" s="471"/>
      <c r="AR3" s="471"/>
      <c r="AS3" s="471"/>
      <c r="AT3" s="252">
        <f>hourlyJava!B26</f>
        <v>43020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96</v>
      </c>
      <c r="G5" s="489"/>
      <c r="H5" s="490" t="s">
        <v>95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176.47058823529412</v>
      </c>
      <c r="G7" s="300">
        <f>F7</f>
        <v>176.47058823529412</v>
      </c>
      <c r="H7" s="304">
        <f>VALUE(hourlyJava!E9)</f>
        <v>215</v>
      </c>
      <c r="I7" s="304">
        <f>H7</f>
        <v>215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0001179009/15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3" t="str">
        <f>hourlyJava!M9</f>
        <v xml:space="preserve">
</v>
      </c>
      <c r="AU7" s="296" t="str">
        <f>hourlyJava!N9</f>
        <v xml:space="preserve">
</v>
      </c>
      <c r="AV7" s="500" t="str">
        <f>hourlyJava!O9</f>
        <v xml:space="preserve">
</v>
      </c>
      <c r="AW7" s="500"/>
      <c r="AX7" s="183">
        <f>IF(H7=0, 0, H7/D7*100)</f>
        <v>121.83333333333333</v>
      </c>
      <c r="AY7" s="196">
        <f>AX7</f>
        <v>121.83333333333333</v>
      </c>
      <c r="BA7" s="289">
        <f>AY7</f>
        <v>121.83333333333333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8" si="0"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211.76470588235293</v>
      </c>
      <c r="G8" s="300">
        <f>IF(F8=0,0,G7+F8)</f>
        <v>388.23529411764707</v>
      </c>
      <c r="H8" s="304">
        <f>VALUE(hourlyJava!E10)</f>
        <v>230</v>
      </c>
      <c r="I8" s="304">
        <f>IF(H8=0,0,I7+H8)</f>
        <v>445</v>
      </c>
      <c r="J8" s="29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0001179009/15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3" t="str">
        <f>hourlyJava!M10</f>
        <v xml:space="preserve">
</v>
      </c>
      <c r="AU8" s="296" t="str">
        <f>hourlyJava!N10</f>
        <v xml:space="preserve">
</v>
      </c>
      <c r="AV8" s="500" t="str">
        <f>hourlyJava!O10</f>
        <v xml:space="preserve">
</v>
      </c>
      <c r="AW8" s="500"/>
      <c r="AX8" s="183">
        <f t="shared" ref="AX8:AX18" si="1">IF(H8=0, 0, H8/D8*100)</f>
        <v>108.61111111111113</v>
      </c>
      <c r="AY8" s="184">
        <f>$I8/SUM($D7:$D8)*100</f>
        <v>114.62121212121212</v>
      </c>
      <c r="BA8" s="289">
        <f>$I8/SUM($D$7:$D8)*100</f>
        <v>114.62121212121212</v>
      </c>
      <c r="BB8" s="290">
        <f t="shared" ref="BB8:BB18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600</v>
      </c>
      <c r="F9" s="223">
        <f>IF(SUM(AL9:AQ9)=0,$D9,SUM(D9-AL9-AM9)-(AN9*60/AT2)-(AO9*60/AT2)-(AP9*60/AT2)-(AQ9*60/AT2))</f>
        <v>105.88235294117646</v>
      </c>
      <c r="G9" s="300">
        <f t="shared" ref="G9:G17" si="4">IF(F9=0,0,G8+F9)</f>
        <v>494.11764705882354</v>
      </c>
      <c r="H9" s="304">
        <f>VALUE(hourlyJava!E11)</f>
        <v>112</v>
      </c>
      <c r="I9" s="304">
        <f t="shared" ref="I9:I18" si="5">IF(H9=0,0,I8+H9)</f>
        <v>557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0001170641/15</v>
      </c>
      <c r="AL9" s="247">
        <f>VALUE(hourlyJava!G11)</f>
        <v>0</v>
      </c>
      <c r="AM9" s="248"/>
      <c r="AN9" s="247">
        <f>VALUE(hourlyJava!H11)</f>
        <v>30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L003</v>
      </c>
      <c r="AS9" s="524"/>
      <c r="AT9" s="293" t="str">
        <f>hourlyJava!M11</f>
        <v xml:space="preserve">
VW-0001179009 a CHRYSLER-0001170641</v>
      </c>
      <c r="AU9" s="296" t="str">
        <f>hourlyJava!N11</f>
        <v xml:space="preserve">
</v>
      </c>
      <c r="AV9" s="500" t="str">
        <f>hourlyJava!O11</f>
        <v xml:space="preserve">
</v>
      </c>
      <c r="AW9" s="500"/>
      <c r="AX9" s="183">
        <f t="shared" si="1"/>
        <v>52.8888888888889</v>
      </c>
      <c r="AY9" s="184">
        <f>I9/SUM(D7:D9)*100</f>
        <v>92.833333333333329</v>
      </c>
      <c r="BA9" s="289">
        <f>$I9/SUM($D$7:$D9)*100</f>
        <v>92.833333333333329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>
        <f>IF(SUM(AL10:AQ10)=0,$D10,SUM(D10-AL10-AM10)-(AN10*60/AT2)-(AO10*60/AT2)-(AP10*60/AT2)-(AQ10*60/AT2))</f>
        <v>175.47058823529409</v>
      </c>
      <c r="G10" s="300">
        <f t="shared" si="4"/>
        <v>669.58823529411757</v>
      </c>
      <c r="H10" s="304">
        <f>VALUE(hourlyJava!E12)</f>
        <v>200</v>
      </c>
      <c r="I10" s="304">
        <f t="shared" si="5"/>
        <v>757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0001170641/15</v>
      </c>
      <c r="AL10" s="247">
        <f>VALUE(hourlyJava!G12)</f>
        <v>1</v>
      </c>
      <c r="AM10" s="248"/>
      <c r="AN10" s="247">
        <f>VALUE(hourlyJava!H12)</f>
        <v>0</v>
      </c>
      <c r="AO10" s="249">
        <f>VALUE(hourlyJava!I12)</f>
        <v>10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</v>
      </c>
      <c r="AS10" s="524"/>
      <c r="AT10" s="293" t="str">
        <f>hourlyJava!M12</f>
        <v xml:space="preserve">
</v>
      </c>
      <c r="AU10" s="296" t="str">
        <f>hourlyJava!N12</f>
        <v xml:space="preserve">
1190
</v>
      </c>
      <c r="AV10" s="500" t="str">
        <f>hourlyJava!O12</f>
        <v xml:space="preserve">
Cambio de arnes
</v>
      </c>
      <c r="AW10" s="500"/>
      <c r="AX10" s="183">
        <f t="shared" si="1"/>
        <v>94.444444444444457</v>
      </c>
      <c r="AY10" s="184">
        <f>I10/SUM(D7:D10)*100</f>
        <v>93.253623188405797</v>
      </c>
      <c r="BA10" s="289">
        <f>$I10/SUM($D$7:$D10)*100</f>
        <v>93.253623188405797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105.88235294117646</v>
      </c>
      <c r="E11" s="225">
        <f t="shared" si="3"/>
        <v>917.64705882352939</v>
      </c>
      <c r="F11" s="223">
        <f>IF(SUM(AL11:AQ11)=0,$D11,SUM(D11-AL11-AM11)-(AN11*60/AT2)-(AO11*60/AT2)-(AP11*60/AT2)-(AQ11*60/AT2))</f>
        <v>83.705882352941174</v>
      </c>
      <c r="G11" s="300">
        <f t="shared" si="4"/>
        <v>753.29411764705878</v>
      </c>
      <c r="H11" s="304">
        <f>VALUE(hourlyJava!E13)</f>
        <v>215</v>
      </c>
      <c r="I11" s="304">
        <f t="shared" si="5"/>
        <v>972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0001170641/15</v>
      </c>
      <c r="AL11" s="247">
        <f>VALUE(hourlyJava!G13)</f>
        <v>1</v>
      </c>
      <c r="AM11" s="248"/>
      <c r="AN11" s="247">
        <f>VALUE(hourlyJava!H13)</f>
        <v>0</v>
      </c>
      <c r="AO11" s="249">
        <f>VALUE(hourlyJava!I13)</f>
        <v>6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</v>
      </c>
      <c r="AS11" s="524"/>
      <c r="AT11" s="293" t="str">
        <f>hourlyJava!M13</f>
        <v xml:space="preserve">
</v>
      </c>
      <c r="AU11" s="296" t="str">
        <f>hourlyJava!N13</f>
        <v xml:space="preserve">
1060
</v>
      </c>
      <c r="AV11" s="500" t="str">
        <f>hourlyJava!O13</f>
        <v xml:space="preserve">
Cambio de mordazas
</v>
      </c>
      <c r="AW11" s="500"/>
      <c r="AX11" s="183">
        <f t="shared" si="1"/>
        <v>203.0555555555556</v>
      </c>
      <c r="AY11" s="184">
        <f>I11/SUM(D7:D11)*100</f>
        <v>105.92307692307692</v>
      </c>
      <c r="BA11" s="289">
        <f>$I11/SUM($D$7:$D11)*100</f>
        <v>105.92307692307692</v>
      </c>
      <c r="BB11" s="290">
        <f t="shared" si="2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1129.4117647058824</v>
      </c>
      <c r="F12" s="223">
        <f>IF(SUM(AL12:AQ12)=0,$D12,SUM(D12-AL12-AM12)-(AN12*60/AT2)-(AO12*60/AT2)-(AP12*60/AT2)-(AQ12*60/AT2))</f>
        <v>59.999999999999993</v>
      </c>
      <c r="G12" s="300">
        <f>IF(F12=0,0,G11+F12)</f>
        <v>813.29411764705878</v>
      </c>
      <c r="H12" s="304">
        <f>VALUE(hourlyJava!E14)</f>
        <v>66</v>
      </c>
      <c r="I12" s="304">
        <f t="shared" si="5"/>
        <v>1038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0001180603/15</v>
      </c>
      <c r="AL12" s="247">
        <f>VALUE(hourlyJava!G14)</f>
        <v>0</v>
      </c>
      <c r="AM12" s="248"/>
      <c r="AN12" s="247">
        <f>VALUE(hourlyJava!H14)</f>
        <v>30</v>
      </c>
      <c r="AO12" s="249">
        <f>VALUE(hourlyJava!I14)</f>
        <v>13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L003</v>
      </c>
      <c r="AS12" s="524"/>
      <c r="AT12" s="293" t="str">
        <f>hourlyJava!M14</f>
        <v xml:space="preserve">
CHRYSLER-0001170641 a FORD-0001180603</v>
      </c>
      <c r="AU12" s="296" t="str">
        <f>hourlyJava!N14</f>
        <v xml:space="preserve">
1210
</v>
      </c>
      <c r="AV12" s="500" t="str">
        <f>hourlyJava!O14</f>
        <v xml:space="preserve">
Ajuste de etiqueta en STN 1210
</v>
      </c>
      <c r="AW12" s="500"/>
      <c r="AX12" s="183">
        <f t="shared" si="1"/>
        <v>31.166666666666671</v>
      </c>
      <c r="AY12" s="184">
        <f>I12/SUM(D7:D12)*100</f>
        <v>91.906249999999986</v>
      </c>
      <c r="BA12" s="289">
        <f>$I12/SUM($D$7:$D12)*100</f>
        <v>91.906249999999986</v>
      </c>
      <c r="BB12" s="290">
        <f t="shared" si="2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1341.1764705882354</v>
      </c>
      <c r="F13" s="223">
        <f>IF(SUM(AL13:AQ13)=0,$D13,SUM(D13-AL13-AM13)-(AN13*60/AT2)-(AO13*60/AT2)-(AP13*60/AT2)-(AQ13*60/AT2))</f>
        <v>211.76470588235293</v>
      </c>
      <c r="G13" s="300">
        <f t="shared" si="4"/>
        <v>1025.0588235294117</v>
      </c>
      <c r="H13" s="304">
        <f>VALUE(hourlyJava!E15)</f>
        <v>120</v>
      </c>
      <c r="I13" s="304">
        <f t="shared" si="5"/>
        <v>1158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0001180603/15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3" t="str">
        <f>hourlyJava!M15</f>
        <v xml:space="preserve">
</v>
      </c>
      <c r="AU13" s="296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1"/>
        <v>56.666666666666664</v>
      </c>
      <c r="AY13" s="184">
        <f>I13/SUM(D7:D13)*100</f>
        <v>86.34210526315789</v>
      </c>
      <c r="BA13" s="289">
        <f>$I13/SUM($D$7:$D13)*100</f>
        <v>86.34210526315789</v>
      </c>
      <c r="BB13" s="290">
        <f t="shared" si="2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1552.9411764705883</v>
      </c>
      <c r="F14" s="223">
        <f>IF(SUM(AL14:AQ14)=0,$D14,SUM(D14-AL14-AM14)-(AN14*60/AT2)-(AO14*60/AT2)-(AP14*60/AT2)-(AQ14*60/AT2))</f>
        <v>190.58823529411762</v>
      </c>
      <c r="G14" s="300">
        <f t="shared" si="4"/>
        <v>1215.6470588235293</v>
      </c>
      <c r="H14" s="304">
        <f>VALUE(hourlyJava!E16)</f>
        <v>215</v>
      </c>
      <c r="I14" s="304">
        <f t="shared" si="5"/>
        <v>1373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0001180603/15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6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</v>
      </c>
      <c r="AS14" s="524"/>
      <c r="AT14" s="293" t="str">
        <f>hourlyJava!M16</f>
        <v xml:space="preserve">
</v>
      </c>
      <c r="AU14" s="296" t="str">
        <f>hourlyJava!N16</f>
        <v xml:space="preserve">
1020
</v>
      </c>
      <c r="AV14" s="500" t="str">
        <f>hourlyJava!O16</f>
        <v xml:space="preserve">
Cambio de ribon STN 1210
</v>
      </c>
      <c r="AW14" s="500"/>
      <c r="AX14" s="183">
        <f t="shared" si="1"/>
        <v>101.5277777777778</v>
      </c>
      <c r="AY14" s="184">
        <f>I14/SUM(D7:D14)*100</f>
        <v>88.412878787878796</v>
      </c>
      <c r="BA14" s="289">
        <f>$I14/SUM($D$7:$D14)*100</f>
        <v>88.412878787878796</v>
      </c>
      <c r="BB14" s="290">
        <f t="shared" si="2"/>
        <v>158.8235294117647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1764.7058823529412</v>
      </c>
      <c r="F15" s="223">
        <f>IF(SUM(AL15:AQ15)=0,$D15,SUM(D15-AL15-AM15)-(AN15*60/AT2)-(AO15*60/AT2)-(AP15*60/AT2)-(AQ15*60/AT2))</f>
        <v>176.47058823529409</v>
      </c>
      <c r="G15" s="300">
        <f t="shared" si="4"/>
        <v>1392.1176470588234</v>
      </c>
      <c r="H15" s="304">
        <f>VALUE(hourlyJava!E17)</f>
        <v>159</v>
      </c>
      <c r="I15" s="304">
        <f t="shared" si="5"/>
        <v>1532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0001180603/15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10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</v>
      </c>
      <c r="AS15" s="524"/>
      <c r="AT15" s="293" t="str">
        <f>hourlyJava!M17</f>
        <v xml:space="preserve">
</v>
      </c>
      <c r="AU15" s="296" t="str">
        <f>hourlyJava!N17</f>
        <v xml:space="preserve">
1140
</v>
      </c>
      <c r="AV15" s="500" t="str">
        <f>hourlyJava!O17</f>
        <v xml:space="preserve">
Limpieza de herramental STN 1140
</v>
      </c>
      <c r="AW15" s="500"/>
      <c r="AX15" s="183">
        <f t="shared" si="1"/>
        <v>75.083333333333329</v>
      </c>
      <c r="AY15" s="184">
        <f>G15/SUM(D7:D15)*100</f>
        <v>78.886666666666656</v>
      </c>
      <c r="BA15" s="289">
        <f>$I15/SUM($D$7:$D15)*100</f>
        <v>86.813333333333333</v>
      </c>
      <c r="BB15" s="290">
        <f t="shared" si="2"/>
        <v>158.8235294117647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 t="shared" si="0"/>
        <v>211.76470588235293</v>
      </c>
      <c r="E16" s="225">
        <f t="shared" si="3"/>
        <v>1976.4705882352941</v>
      </c>
      <c r="F16" s="223">
        <f>IF(SUM(AL16:AQ16)=0,$D16,SUM(D16-AL16-AM16)-(AN16*60/AT2)-(AO16*60/AT2)-(AP16*60/AT2)-(AQ16*60/AT2))</f>
        <v>211.76470588235293</v>
      </c>
      <c r="G16" s="300">
        <f t="shared" si="4"/>
        <v>1603.8823529411764</v>
      </c>
      <c r="H16" s="304">
        <f>VALUE(hourlyJava!E18)</f>
        <v>220</v>
      </c>
      <c r="I16" s="304">
        <f t="shared" si="5"/>
        <v>1752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hourlyJava!F18</f>
        <v>0001180603/15</v>
      </c>
      <c r="AL16" s="247">
        <f>VALUE(hourlyJava!G18)</f>
        <v>0</v>
      </c>
      <c r="AM16" s="278"/>
      <c r="AN16" s="247">
        <f>VALUE(hourlyJava!H18)</f>
        <v>0</v>
      </c>
      <c r="AO16" s="249">
        <f>VALUE(hourlyJava!I18)</f>
        <v>0</v>
      </c>
      <c r="AP16" s="249">
        <f>VALUE(hourlyJava!J18)</f>
        <v>0</v>
      </c>
      <c r="AQ16" s="249">
        <f>VALUE(hourlyJava!K18)</f>
        <v>0</v>
      </c>
      <c r="AR16" s="523" t="str">
        <f>hourlyJava!L18</f>
        <v xml:space="preserve">
</v>
      </c>
      <c r="AS16" s="524"/>
      <c r="AT16" s="293" t="str">
        <f>hourlyJava!M18</f>
        <v xml:space="preserve">
</v>
      </c>
      <c r="AU16" s="296" t="str">
        <f>hourlyJava!N18</f>
        <v xml:space="preserve">
</v>
      </c>
      <c r="AV16" s="500" t="str">
        <f>hourlyJava!O18</f>
        <v xml:space="preserve">
</v>
      </c>
      <c r="AW16" s="500"/>
      <c r="AX16" s="183">
        <f t="shared" si="1"/>
        <v>103.8888888888889</v>
      </c>
      <c r="AY16" s="184">
        <f>I16/SUM(D7:D16)*100</f>
        <v>88.642857142857139</v>
      </c>
      <c r="BA16" s="289">
        <f>$I16/SUM($D$7:$D16)*100</f>
        <v>88.642857142857139</v>
      </c>
      <c r="BB16" s="290">
        <f t="shared" si="2"/>
        <v>158.8235294117647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 t="shared" si="0"/>
        <v>211.76470588235293</v>
      </c>
      <c r="E17" s="225">
        <f t="shared" si="3"/>
        <v>2188.2352941176468</v>
      </c>
      <c r="F17" s="223">
        <f>IF(SUM(AL17:AQ17)=0,$D17,SUM(D17-AL17-AM17)-(AN17*60/AT2)-(AO17*60/AT2)-(AP17*60/AT2)-(AQ17*60/AT2))</f>
        <v>42.35294117647058</v>
      </c>
      <c r="G17" s="300">
        <f t="shared" si="4"/>
        <v>1646.2352941176468</v>
      </c>
      <c r="H17" s="304">
        <f>VALUE(hourlyJava!E19)</f>
        <v>48</v>
      </c>
      <c r="I17" s="304">
        <f t="shared" si="5"/>
        <v>1800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hourlyJava!F19</f>
        <v>0001180603/15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48</v>
      </c>
      <c r="AP17" s="249">
        <f>VALUE(hourlyJava!J19)</f>
        <v>0</v>
      </c>
      <c r="AQ17" s="249">
        <f>VALUE(hourlyJava!K19)</f>
        <v>0</v>
      </c>
      <c r="AR17" s="523" t="str">
        <f>hourlyJava!L19</f>
        <v xml:space="preserve">
</v>
      </c>
      <c r="AS17" s="524"/>
      <c r="AT17" s="293" t="str">
        <f>hourlyJava!M19</f>
        <v xml:space="preserve">
</v>
      </c>
      <c r="AU17" s="296" t="str">
        <f>hourlyJava!N19</f>
        <v xml:space="preserve">
1040
</v>
      </c>
      <c r="AV17" s="500" t="str">
        <f>hourlyJava!O19</f>
        <v xml:space="preserve">
Ajuste de camara STN 1040
</v>
      </c>
      <c r="AW17" s="500"/>
      <c r="AX17" s="183">
        <f t="shared" si="1"/>
        <v>22.666666666666668</v>
      </c>
      <c r="AY17" s="184">
        <f>I17/SUM(D7:D17)*100</f>
        <v>82.258064516129039</v>
      </c>
      <c r="BA17" s="289">
        <f>$I17/SUM($D$7:$D17)*100</f>
        <v>82.258064516129039</v>
      </c>
      <c r="BB17" s="290">
        <f t="shared" si="2"/>
        <v>158.8235294117647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 t="shared" si="0"/>
        <v>211.76470588235293</v>
      </c>
      <c r="E18" s="225">
        <f t="shared" si="3"/>
        <v>2400</v>
      </c>
      <c r="F18" s="223">
        <f>IF(SUM(AL18:AQ18)=0,$D18,SUM(D18-AL18-AM18)-(AN18*60/AT2)-(AO18*60/AT2)-(AP18*60/AT2)-(AQ18*60/AT2))</f>
        <v>158.8235294117647</v>
      </c>
      <c r="G18" s="300">
        <f>IF(F18=0,0,G17+F18)</f>
        <v>1805.0588235294115</v>
      </c>
      <c r="H18" s="304">
        <f>VALUE(hourlyJava!E20)</f>
        <v>178</v>
      </c>
      <c r="I18" s="304">
        <f t="shared" si="5"/>
        <v>1978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2" t="str">
        <f>hourlyJava!F20</f>
        <v>0001180603/15</v>
      </c>
      <c r="AL18" s="247">
        <f>VALUE(hourlyJava!G20)</f>
        <v>0</v>
      </c>
      <c r="AM18" s="248"/>
      <c r="AN18" s="247">
        <f>VALUE(hourlyJava!H20)</f>
        <v>15</v>
      </c>
      <c r="AO18" s="249">
        <f>VALUE(hourlyJava!I20)</f>
        <v>0</v>
      </c>
      <c r="AP18" s="249">
        <f>VALUE(hourlyJava!J20)</f>
        <v>0</v>
      </c>
      <c r="AQ18" s="249">
        <f>VALUE(hourlyJava!K20)</f>
        <v>0</v>
      </c>
      <c r="AR18" s="523" t="str">
        <f>hourlyJava!L20</f>
        <v xml:space="preserve">
L003</v>
      </c>
      <c r="AS18" s="524"/>
      <c r="AT18" s="293" t="str">
        <f>hourlyJava!M20</f>
        <v xml:space="preserve">
FORD-0001180603 a AUDI-0001172403</v>
      </c>
      <c r="AU18" s="296" t="str">
        <f>hourlyJava!N20</f>
        <v xml:space="preserve">
</v>
      </c>
      <c r="AV18" s="500" t="str">
        <f>hourlyJava!O20</f>
        <v xml:space="preserve">
</v>
      </c>
      <c r="AW18" s="500"/>
      <c r="AX18" s="183">
        <f t="shared" si="1"/>
        <v>84.055555555555557</v>
      </c>
      <c r="AY18" s="184">
        <f>I18/SUM(D7:D18)*100</f>
        <v>82.416666666666671</v>
      </c>
      <c r="BA18" s="289">
        <f>$I18/SUM($D$7:$D18)*100</f>
        <v>82.416666666666671</v>
      </c>
      <c r="BB18" s="290">
        <f t="shared" si="2"/>
        <v>158.8235294117647</v>
      </c>
      <c r="BC18" s="279"/>
    </row>
    <row r="19" spans="2:57" ht="18" customHeight="1" thickBot="1">
      <c r="B19" s="474" t="s">
        <v>27</v>
      </c>
      <c r="C19" s="475"/>
      <c r="D19" s="233" t="s">
        <v>26</v>
      </c>
      <c r="E19" s="377">
        <f>SUM(D7:D18)</f>
        <v>2400</v>
      </c>
      <c r="F19" s="476">
        <f>SUM(F7:F18)</f>
        <v>1805.0588235294115</v>
      </c>
      <c r="G19" s="477"/>
      <c r="H19" s="525">
        <f>SUM(H7:H18)</f>
        <v>1978</v>
      </c>
      <c r="I19" s="526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6">SUM(AL7:AL18)</f>
        <v>2</v>
      </c>
      <c r="AM19" s="185">
        <f t="shared" si="6"/>
        <v>0</v>
      </c>
      <c r="AN19" s="207">
        <f t="shared" si="6"/>
        <v>75</v>
      </c>
      <c r="AO19" s="208">
        <f t="shared" si="6"/>
        <v>93</v>
      </c>
      <c r="AP19" s="209">
        <f t="shared" si="6"/>
        <v>0</v>
      </c>
      <c r="AQ19" s="209">
        <f t="shared" si="6"/>
        <v>0</v>
      </c>
      <c r="AR19" s="210"/>
      <c r="AS19" s="211"/>
      <c r="AT19" s="212"/>
      <c r="AU19" s="213"/>
      <c r="AV19" s="511"/>
      <c r="AW19" s="511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0.82416666666666671</v>
      </c>
      <c r="BA19" s="289"/>
      <c r="BC19" s="279"/>
    </row>
    <row r="20" spans="2:57" ht="18" customHeight="1" thickBot="1">
      <c r="B20" s="281" t="s">
        <v>32</v>
      </c>
      <c r="C20" s="244">
        <v>50</v>
      </c>
      <c r="D20" s="226">
        <f>SUM($C20*60)/$AT$2</f>
        <v>176.47058823529412</v>
      </c>
      <c r="E20" s="227">
        <f>D20</f>
        <v>176.47058823529412</v>
      </c>
      <c r="F20" s="223">
        <f>IF(SUM(AL20:AQ20)=0,$D20,SUM(D20-AL20-AM20)-(AN20*60/AT2)-(AO20*60/AT2)-(AP20*60/AT2)-(AQ20*60/AT2))</f>
        <v>123.52941176470588</v>
      </c>
      <c r="G20" s="299">
        <f>F20</f>
        <v>123.52941176470588</v>
      </c>
      <c r="H20" s="305">
        <f>VALUE(hourlyJava!E21)</f>
        <v>180</v>
      </c>
      <c r="I20" s="305">
        <f>IF(H18=0,0,H20+I18)</f>
        <v>2158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0001172403/15</v>
      </c>
      <c r="AL20" s="247">
        <f>VALUE(hourlyJava!G21)</f>
        <v>0</v>
      </c>
      <c r="AM20" s="248"/>
      <c r="AN20" s="247">
        <f>VALUE(hourlyJava!H21)</f>
        <v>15</v>
      </c>
      <c r="AO20" s="247">
        <f>VALUE(hourlyJava!I21)</f>
        <v>0</v>
      </c>
      <c r="AP20" s="247">
        <f>VALUE(hourlyJava!J21)</f>
        <v>0</v>
      </c>
      <c r="AQ20" s="247">
        <f>VALUE(hourlyJava!K21)</f>
        <v>0</v>
      </c>
      <c r="AR20" s="521" t="str">
        <f>hourlyJava!L21</f>
        <v xml:space="preserve">
L003</v>
      </c>
      <c r="AS20" s="522"/>
      <c r="AT20" s="295" t="str">
        <f>hourlyJava!M21</f>
        <v xml:space="preserve">
FORD-0001180603 a AUDI-0001172403</v>
      </c>
      <c r="AU20" s="297" t="str">
        <f>hourlyJava!N21</f>
        <v xml:space="preserve">
</v>
      </c>
      <c r="AV20" s="510" t="str">
        <f>hourlyJava!O21</f>
        <v xml:space="preserve">
</v>
      </c>
      <c r="AW20" s="510"/>
      <c r="AX20" s="221">
        <f>IF(H20=0, 0, H7/D20*100)</f>
        <v>121.83333333333333</v>
      </c>
      <c r="AY20" s="222">
        <f>AX20</f>
        <v>121.83333333333333</v>
      </c>
      <c r="BA20" s="289">
        <f>IF(H20&gt;0,SUM($H$19+I20)/($E$19+D20))*100</f>
        <v>160.5296803652968</v>
      </c>
      <c r="BB20" s="290">
        <f>D20*$AX$3</f>
        <v>132.35294117647058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ref="D21:D31" si="7">SUM($C21*60)/$AT$2</f>
        <v>211.76470588235293</v>
      </c>
      <c r="E21" s="225">
        <f t="shared" ref="E21:E30" si="8">E20+D21</f>
        <v>388.23529411764707</v>
      </c>
      <c r="F21" s="223">
        <f>IF(SUM(AL21:AQ21)=0,$D21,SUM(D21-AL21-AM21)-(AN21*60/AT2)-(AO21*60/AT2)-(AP21*60/AT2)-(AQ21*60/AT2))</f>
        <v>211.76470588235293</v>
      </c>
      <c r="G21" s="300">
        <f>IF(F21=0,0,G20+F21)</f>
        <v>335.29411764705878</v>
      </c>
      <c r="H21" s="305">
        <f>VALUE(hourlyJava!E22)</f>
        <v>100</v>
      </c>
      <c r="I21" s="306">
        <f>IF(H21=0,0,I20+H21)</f>
        <v>2258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0001172403/15</v>
      </c>
      <c r="AL21" s="247">
        <f>VALUE(hourlyJava!G22)</f>
        <v>0</v>
      </c>
      <c r="AM21" s="248"/>
      <c r="AN21" s="247">
        <f>VALUE(hourlyJava!H22)</f>
        <v>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521" t="str">
        <f>hourlyJava!L22</f>
        <v xml:space="preserve">
</v>
      </c>
      <c r="AS21" s="522"/>
      <c r="AT21" s="295" t="str">
        <f>hourlyJava!M22</f>
        <v xml:space="preserve">
</v>
      </c>
      <c r="AU21" s="297" t="str">
        <f>hourlyJava!N22</f>
        <v xml:space="preserve">
</v>
      </c>
      <c r="AV21" s="510" t="str">
        <f>hourlyJava!O22</f>
        <v xml:space="preserve">
</v>
      </c>
      <c r="AW21" s="510"/>
      <c r="AX21" s="221">
        <f t="shared" ref="AX21:AX31" si="9">IF(H21=0, 0, H8/D21*100)</f>
        <v>108.61111111111113</v>
      </c>
      <c r="AY21" s="184">
        <f>I21/SUM(D20:D21)*100</f>
        <v>581.60606060606051</v>
      </c>
      <c r="BA21" s="289">
        <f t="shared" ref="BA21:BA31" si="10">IF(H21&gt;0,SUM($H$19+I21)/($E$19+E21))*100</f>
        <v>151.92405063291142</v>
      </c>
      <c r="BB21" s="290">
        <f t="shared" ref="BB21:BB31" si="11">D21*$AX$3</f>
        <v>158.8235294117647</v>
      </c>
      <c r="BC21" s="279"/>
    </row>
    <row r="22" spans="2:57" ht="18" customHeight="1" thickBot="1">
      <c r="B22" s="283" t="s">
        <v>34</v>
      </c>
      <c r="C22" s="246">
        <v>30</v>
      </c>
      <c r="D22" s="226">
        <f t="shared" si="7"/>
        <v>105.88235294117646</v>
      </c>
      <c r="E22" s="225">
        <f t="shared" si="8"/>
        <v>494.11764705882354</v>
      </c>
      <c r="F22" s="223">
        <f>IF(SUM(AL22:AQ22)=0,$D22,SUM(D22-AL22-AM22)-(AN22*60/AT2)-(AO22*60/AT2)-(AP22*60/AT2)-(AQ22*60/AT2))</f>
        <v>105.88235294117646</v>
      </c>
      <c r="G22" s="300">
        <f t="shared" ref="G22:G30" si="12">IF(F22=0,0,G21+F22)</f>
        <v>441.17647058823525</v>
      </c>
      <c r="H22" s="305">
        <f>VALUE(hourlyJava!E23)</f>
        <v>220</v>
      </c>
      <c r="I22" s="306">
        <f t="shared" ref="I22:I30" si="13">IF(H22=0,0,I21+H22)</f>
        <v>2478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0001172403/15</v>
      </c>
      <c r="AL22" s="247">
        <f>VALUE(hourlyJava!G23)</f>
        <v>0</v>
      </c>
      <c r="AM22" s="248"/>
      <c r="AN22" s="247">
        <f>VALUE(hourlyJava!H23)</f>
        <v>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521" t="str">
        <f>hourlyJava!L23</f>
        <v xml:space="preserve">
</v>
      </c>
      <c r="AS22" s="522"/>
      <c r="AT22" s="295" t="str">
        <f>hourlyJava!M23</f>
        <v xml:space="preserve">
</v>
      </c>
      <c r="AU22" s="297" t="str">
        <f>hourlyJava!N23</f>
        <v xml:space="preserve">
</v>
      </c>
      <c r="AV22" s="510" t="str">
        <f>hourlyJava!O23</f>
        <v xml:space="preserve">
</v>
      </c>
      <c r="AW22" s="510"/>
      <c r="AX22" s="221">
        <f t="shared" si="9"/>
        <v>105.7777777777778</v>
      </c>
      <c r="AY22" s="184">
        <f>I22/SUM(D20:D22)*100</f>
        <v>501.49999999999994</v>
      </c>
      <c r="BA22" s="289">
        <f t="shared" si="10"/>
        <v>153.96747967479675</v>
      </c>
      <c r="BB22" s="290">
        <f t="shared" si="11"/>
        <v>79.411764705882348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705.88235294117646</v>
      </c>
      <c r="F23" s="223">
        <f>IF(SUM(AL23:AQ23)=0,$D23,SUM(D23-AL23-AM23)-(AN23*60/AT2)-(AO23*60/AT2)-(AP23*60/AT2)-(AQ23*60/AT2))</f>
        <v>211.76470588235293</v>
      </c>
      <c r="G23" s="300">
        <f t="shared" si="12"/>
        <v>652.94117647058818</v>
      </c>
      <c r="H23" s="305">
        <f>VALUE(hourlyJava!E24)</f>
        <v>85</v>
      </c>
      <c r="I23" s="306">
        <f t="shared" si="13"/>
        <v>2563</v>
      </c>
      <c r="J23" s="298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4" t="str">
        <f>hourlyJava!F24</f>
        <v>0001172403/15</v>
      </c>
      <c r="AL23" s="247">
        <f>VALUE(hourlyJava!G24)</f>
        <v>0</v>
      </c>
      <c r="AM23" s="248"/>
      <c r="AN23" s="247">
        <f>VALUE(hourlyJava!H24)</f>
        <v>0</v>
      </c>
      <c r="AO23" s="247">
        <f>VALUE(hourlyJava!I24)</f>
        <v>0</v>
      </c>
      <c r="AP23" s="247">
        <f>VALUE(hourlyJava!J24)</f>
        <v>0</v>
      </c>
      <c r="AQ23" s="247">
        <f>VALUE(hourlyJava!K24)</f>
        <v>0</v>
      </c>
      <c r="AR23" s="521" t="str">
        <f>hourlyJava!L24</f>
        <v xml:space="preserve">
</v>
      </c>
      <c r="AS23" s="522"/>
      <c r="AT23" s="295" t="str">
        <f>hourlyJava!M24</f>
        <v xml:space="preserve">
</v>
      </c>
      <c r="AU23" s="297" t="str">
        <f>hourlyJava!N24</f>
        <v xml:space="preserve">
</v>
      </c>
      <c r="AV23" s="510" t="str">
        <f>hourlyJava!O24</f>
        <v xml:space="preserve">
</v>
      </c>
      <c r="AW23" s="510"/>
      <c r="AX23" s="221">
        <f t="shared" si="9"/>
        <v>94.444444444444457</v>
      </c>
      <c r="AY23" s="184">
        <f>I23/SUM(D20:D23)*100</f>
        <v>363.0916666666667</v>
      </c>
      <c r="BA23" s="289">
        <f t="shared" si="10"/>
        <v>146.20643939393938</v>
      </c>
      <c r="BB23" s="290">
        <f t="shared" si="11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917.64705882352939</v>
      </c>
      <c r="F24" s="223">
        <f>IF(SUM(AL24:AQ24)=0,$D24,SUM(D24-AL24-AM24)-(AN24*60/AT2)-(AO24*60/AT2)-(AP24*60/AT2)-(AQ24*60/AT2))</f>
        <v>105.88235294117646</v>
      </c>
      <c r="G24" s="300">
        <f t="shared" si="12"/>
        <v>758.82352941176464</v>
      </c>
      <c r="H24" s="305">
        <f>VALUE(hourlyJava!E25)</f>
        <v>100</v>
      </c>
      <c r="I24" s="306">
        <f t="shared" si="13"/>
        <v>2663</v>
      </c>
      <c r="J24" s="29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4" t="str">
        <f>hourlyJava!F25</f>
        <v>0001172403/15</v>
      </c>
      <c r="AL24" s="247">
        <f>VALUE(hourlyJava!G25)</f>
        <v>0</v>
      </c>
      <c r="AM24" s="248"/>
      <c r="AN24" s="247">
        <f>VALUE(hourlyJava!H25)</f>
        <v>30</v>
      </c>
      <c r="AO24" s="247">
        <f>VALUE(hourlyJava!I25)</f>
        <v>0</v>
      </c>
      <c r="AP24" s="247">
        <f>VALUE(hourlyJava!J25)</f>
        <v>0</v>
      </c>
      <c r="AQ24" s="247">
        <f>VALUE(hourlyJava!K25)</f>
        <v>0</v>
      </c>
      <c r="AR24" s="521" t="str">
        <f>hourlyJava!L25</f>
        <v xml:space="preserve">
L003</v>
      </c>
      <c r="AS24" s="522"/>
      <c r="AT24" s="295" t="str">
        <f>hourlyJava!M25</f>
        <v xml:space="preserve">
AUDI-0001172403 a VW-0001179517</v>
      </c>
      <c r="AU24" s="297" t="str">
        <f>hourlyJava!N25</f>
        <v xml:space="preserve">
</v>
      </c>
      <c r="AV24" s="510" t="str">
        <f>hourlyJava!O25</f>
        <v xml:space="preserve">
</v>
      </c>
      <c r="AW24" s="510"/>
      <c r="AX24" s="221">
        <f t="shared" si="9"/>
        <v>101.5277777777778</v>
      </c>
      <c r="AY24" s="184">
        <f>I24/SUM(D20:D24)*100</f>
        <v>290.19871794871796</v>
      </c>
      <c r="BA24" s="289">
        <f t="shared" si="10"/>
        <v>139.88829787234042</v>
      </c>
      <c r="BB24" s="290">
        <f t="shared" si="11"/>
        <v>158.8235294117647</v>
      </c>
      <c r="BC24" s="279"/>
    </row>
    <row r="25" spans="2:57" ht="18" customHeight="1" thickBot="1">
      <c r="B25" s="175" t="s">
        <v>38</v>
      </c>
      <c r="C25" s="242">
        <v>60</v>
      </c>
      <c r="D25" s="226">
        <f t="shared" si="7"/>
        <v>211.76470588235293</v>
      </c>
      <c r="E25" s="225">
        <f t="shared" si="8"/>
        <v>1129.4117647058824</v>
      </c>
      <c r="F25" s="223">
        <f>IF(SUM(AL25:AQ25)=0,$D25,SUM(D25-AL25-AM25)-(AN25*60/AT2)-(AO25*60/AT2)-(AP25*60/AT2)-(AQ25*60/AT2))</f>
        <v>211.76470588235293</v>
      </c>
      <c r="G25" s="300">
        <f t="shared" si="12"/>
        <v>970.58823529411757</v>
      </c>
      <c r="H25" s="305">
        <f>VALUE(hourlyJava!E26)</f>
        <v>155</v>
      </c>
      <c r="I25" s="306">
        <f t="shared" si="13"/>
        <v>2818</v>
      </c>
      <c r="J25" s="29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4" t="str">
        <f>hourlyJava!F26</f>
        <v>0001179517/15</v>
      </c>
      <c r="AL25" s="247">
        <f>VALUE(hourlyJava!G26)</f>
        <v>0</v>
      </c>
      <c r="AM25" s="248"/>
      <c r="AN25" s="247">
        <f>VALUE(hourlyJava!H26)</f>
        <v>0</v>
      </c>
      <c r="AO25" s="247">
        <f>VALUE(hourlyJava!I26)</f>
        <v>0</v>
      </c>
      <c r="AP25" s="247">
        <f>VALUE(hourlyJava!J26)</f>
        <v>0</v>
      </c>
      <c r="AQ25" s="247">
        <f>VALUE(hourlyJava!K26)</f>
        <v>0</v>
      </c>
      <c r="AR25" s="521" t="str">
        <f>hourlyJava!L26</f>
        <v xml:space="preserve">
</v>
      </c>
      <c r="AS25" s="522"/>
      <c r="AT25" s="295" t="str">
        <f>hourlyJava!M26</f>
        <v xml:space="preserve">
</v>
      </c>
      <c r="AU25" s="297" t="str">
        <f>hourlyJava!N26</f>
        <v xml:space="preserve">
</v>
      </c>
      <c r="AV25" s="510" t="str">
        <f>hourlyJava!O26</f>
        <v xml:space="preserve">
</v>
      </c>
      <c r="AW25" s="510"/>
      <c r="AX25" s="221">
        <f t="shared" si="9"/>
        <v>31.166666666666671</v>
      </c>
      <c r="AY25" s="184">
        <f>I25/SUM(D20:D25)*100</f>
        <v>249.51041666666666</v>
      </c>
      <c r="BA25" s="289">
        <f t="shared" si="10"/>
        <v>135.88666666666666</v>
      </c>
      <c r="BB25" s="290">
        <f t="shared" si="11"/>
        <v>158.8235294117647</v>
      </c>
      <c r="BC25" s="279"/>
    </row>
    <row r="26" spans="2:57" ht="18" customHeight="1" thickBot="1">
      <c r="B26" s="284" t="s">
        <v>76</v>
      </c>
      <c r="C26" s="242">
        <v>60</v>
      </c>
      <c r="D26" s="226">
        <f t="shared" si="7"/>
        <v>211.76470588235293</v>
      </c>
      <c r="E26" s="225">
        <f t="shared" si="8"/>
        <v>1341.1764705882354</v>
      </c>
      <c r="F26" s="223">
        <f>IF(SUM(AL26:AQ26)=0,$D26,SUM(D26-AL26-AM26)-(AN26*60/AT2)-(AO26*60/AT2)-(AP26*60/AT2)-(AQ26*60/AT2))</f>
        <v>211.76470588235293</v>
      </c>
      <c r="G26" s="300">
        <f t="shared" si="12"/>
        <v>1182.3529411764705</v>
      </c>
      <c r="H26" s="306">
        <f>VALUE(hourlyJava!E3)</f>
        <v>225</v>
      </c>
      <c r="I26" s="306">
        <f t="shared" si="13"/>
        <v>3043</v>
      </c>
      <c r="J26" s="298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4" t="str">
        <f>hourlyJava!F3</f>
        <v>0001179517/15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0</v>
      </c>
      <c r="AP26" s="247">
        <f>VALUE(hourlyJava!J3)</f>
        <v>0</v>
      </c>
      <c r="AQ26" s="247">
        <f>VALUE(hourlyJava!K3)</f>
        <v>0</v>
      </c>
      <c r="AR26" s="521" t="str">
        <f>hourlyJava!L3</f>
        <v xml:space="preserve">
</v>
      </c>
      <c r="AS26" s="522"/>
      <c r="AT26" s="295" t="str">
        <f>hourlyJava!M3</f>
        <v xml:space="preserve">
</v>
      </c>
      <c r="AU26" s="297" t="str">
        <f>hourlyJava!N3</f>
        <v xml:space="preserve">
</v>
      </c>
      <c r="AV26" s="510" t="str">
        <f>hourlyJava!O3</f>
        <v xml:space="preserve">
</v>
      </c>
      <c r="AW26" s="510"/>
      <c r="AX26" s="221">
        <f t="shared" si="9"/>
        <v>56.666666666666664</v>
      </c>
      <c r="AY26" s="184">
        <f>I26/SUM(D20:D26)*100</f>
        <v>226.89035087719299</v>
      </c>
      <c r="BA26" s="289">
        <f t="shared" si="10"/>
        <v>134.20911949685535</v>
      </c>
      <c r="BB26" s="290">
        <f t="shared" si="11"/>
        <v>158.8235294117647</v>
      </c>
      <c r="BC26" s="279"/>
    </row>
    <row r="27" spans="2:57" ht="18" customHeight="1" thickBot="1">
      <c r="B27" s="285" t="s">
        <v>77</v>
      </c>
      <c r="C27" s="243">
        <v>60</v>
      </c>
      <c r="D27" s="226">
        <f t="shared" si="7"/>
        <v>211.76470588235293</v>
      </c>
      <c r="E27" s="225">
        <f t="shared" si="8"/>
        <v>1552.9411764705883</v>
      </c>
      <c r="F27" s="223">
        <f>IF(SUM(AL27:AQ27)=0,$D27,SUM(D27-AL27-AM27)-(AN27*60/AT2)-(AO27*60/AT2)-(AP27*60/AT2)-(AQ27*60/AT2))</f>
        <v>211.76470588235293</v>
      </c>
      <c r="G27" s="300">
        <f t="shared" si="12"/>
        <v>1394.1176470588234</v>
      </c>
      <c r="H27" s="306">
        <f>VALUE(hourlyJava!E4)</f>
        <v>220</v>
      </c>
      <c r="I27" s="306">
        <f t="shared" si="13"/>
        <v>3263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4" t="str">
        <f>hourlyJava!F4</f>
        <v>0001179517/15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0</v>
      </c>
      <c r="AP27" s="247">
        <f>VALUE(hourlyJava!J4)</f>
        <v>0</v>
      </c>
      <c r="AQ27" s="247">
        <f>VALUE(hourlyJava!K4)</f>
        <v>0</v>
      </c>
      <c r="AR27" s="521" t="str">
        <f>hourlyJava!L4</f>
        <v xml:space="preserve">
</v>
      </c>
      <c r="AS27" s="522"/>
      <c r="AT27" s="295" t="str">
        <f>hourlyJava!M4</f>
        <v xml:space="preserve">
</v>
      </c>
      <c r="AU27" s="297" t="str">
        <f>hourlyJava!N4</f>
        <v xml:space="preserve">
</v>
      </c>
      <c r="AV27" s="510" t="str">
        <f>hourlyJava!O4</f>
        <v xml:space="preserve">
</v>
      </c>
      <c r="AW27" s="510"/>
      <c r="AX27" s="221">
        <f t="shared" si="9"/>
        <v>101.5277777777778</v>
      </c>
      <c r="AY27" s="184">
        <f>I27/SUM(D20:D27)*100</f>
        <v>210.11742424242422</v>
      </c>
      <c r="BA27" s="289">
        <f t="shared" si="10"/>
        <v>132.58482142857142</v>
      </c>
      <c r="BB27" s="290">
        <f t="shared" si="11"/>
        <v>158.8235294117647</v>
      </c>
      <c r="BC27" s="279"/>
    </row>
    <row r="28" spans="2:57" ht="18" customHeight="1" thickBot="1">
      <c r="B28" s="285" t="s">
        <v>78</v>
      </c>
      <c r="C28" s="243">
        <v>60</v>
      </c>
      <c r="D28" s="226">
        <f t="shared" si="7"/>
        <v>211.76470588235293</v>
      </c>
      <c r="E28" s="225">
        <f t="shared" si="8"/>
        <v>1764.7058823529412</v>
      </c>
      <c r="F28" s="223">
        <f>IF(SUM(AL28:AQ28)=0,$D28,SUM(D28-AL28-AM28)-(AN28*60/AT2)-(AO28*60/AT2)-(AP28*60/AT2)-(AQ28*60/AT2))</f>
        <v>105.88235294117646</v>
      </c>
      <c r="G28" s="300">
        <f t="shared" si="12"/>
        <v>1500</v>
      </c>
      <c r="H28" s="306">
        <f>VALUE(hourlyJava!E5)</f>
        <v>120</v>
      </c>
      <c r="I28" s="306">
        <f t="shared" si="13"/>
        <v>3383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hourlyJava!F5</f>
        <v>0001179515/15</v>
      </c>
      <c r="AL28" s="247">
        <f>VALUE(hourlyJava!G5)</f>
        <v>0</v>
      </c>
      <c r="AM28" s="278"/>
      <c r="AN28" s="247">
        <f>VALUE(hourlyJava!H5)</f>
        <v>30</v>
      </c>
      <c r="AO28" s="247">
        <f>VALUE(hourlyJava!I5)</f>
        <v>0</v>
      </c>
      <c r="AP28" s="247">
        <f>VALUE(hourlyJava!J5)</f>
        <v>0</v>
      </c>
      <c r="AQ28" s="247">
        <f>VALUE(hourlyJava!K5)</f>
        <v>0</v>
      </c>
      <c r="AR28" s="521" t="str">
        <f>hourlyJava!L5</f>
        <v xml:space="preserve">
L003</v>
      </c>
      <c r="AS28" s="522"/>
      <c r="AT28" s="295" t="str">
        <f>hourlyJava!M5</f>
        <v xml:space="preserve">
VW-0001179517 a VW-0001179515</v>
      </c>
      <c r="AU28" s="297" t="str">
        <f>hourlyJava!N5</f>
        <v xml:space="preserve">
</v>
      </c>
      <c r="AV28" s="510" t="str">
        <f>hourlyJava!O5</f>
        <v xml:space="preserve">
</v>
      </c>
      <c r="AW28" s="510"/>
      <c r="AX28" s="221">
        <f t="shared" si="9"/>
        <v>75.083333333333329</v>
      </c>
      <c r="AY28" s="184">
        <f>I28/SUM(D20:D28)*100</f>
        <v>191.70333333333335</v>
      </c>
      <c r="BA28" s="289">
        <f t="shared" si="10"/>
        <v>128.72457627118644</v>
      </c>
      <c r="BB28" s="290">
        <f t="shared" si="11"/>
        <v>158.8235294117647</v>
      </c>
      <c r="BC28" s="279"/>
    </row>
    <row r="29" spans="2:57" ht="18" customHeight="1" thickBot="1">
      <c r="B29" s="285" t="s">
        <v>79</v>
      </c>
      <c r="C29" s="243">
        <v>60</v>
      </c>
      <c r="D29" s="226">
        <f t="shared" si="7"/>
        <v>211.76470588235293</v>
      </c>
      <c r="E29" s="225">
        <f t="shared" si="8"/>
        <v>1976.4705882352941</v>
      </c>
      <c r="F29" s="223">
        <f>IF(SUM(AL29:AQ29)=0,$D29,SUM(D29-AL29-AM29)-(AN29*60/AT2)-(AO29*60/AT2)-(AP29*60/AT2)-(AQ29*60/AT2))</f>
        <v>105.88235294117646</v>
      </c>
      <c r="G29" s="300">
        <f t="shared" si="12"/>
        <v>1605.8823529411766</v>
      </c>
      <c r="H29" s="306">
        <f>VALUE(hourlyJava!E6)</f>
        <v>80</v>
      </c>
      <c r="I29" s="306">
        <f t="shared" si="13"/>
        <v>3463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hourlyJava!F6</f>
        <v>0001179519/15</v>
      </c>
      <c r="AL29" s="247">
        <f>VALUE(hourlyJava!G6)</f>
        <v>0</v>
      </c>
      <c r="AM29" s="278"/>
      <c r="AN29" s="247">
        <f>VALUE(hourlyJava!H6)</f>
        <v>30</v>
      </c>
      <c r="AO29" s="247">
        <f>VALUE(hourlyJava!I6)</f>
        <v>0</v>
      </c>
      <c r="AP29" s="247">
        <f>VALUE(hourlyJava!J6)</f>
        <v>0</v>
      </c>
      <c r="AQ29" s="247">
        <f>VALUE(hourlyJava!K6)</f>
        <v>0</v>
      </c>
      <c r="AR29" s="521" t="str">
        <f>hourlyJava!L6</f>
        <v xml:space="preserve">
L003</v>
      </c>
      <c r="AS29" s="522"/>
      <c r="AT29" s="295" t="str">
        <f>hourlyJava!M6</f>
        <v xml:space="preserve">
VW-0001179515 a VW-0001179519</v>
      </c>
      <c r="AU29" s="297" t="str">
        <f>hourlyJava!N6</f>
        <v xml:space="preserve">
</v>
      </c>
      <c r="AV29" s="510" t="str">
        <f>hourlyJava!O6</f>
        <v xml:space="preserve">
</v>
      </c>
      <c r="AW29" s="510"/>
      <c r="AX29" s="221">
        <f t="shared" si="9"/>
        <v>103.8888888888889</v>
      </c>
      <c r="AY29" s="184">
        <f>I29/SUM(D20:D29)*100</f>
        <v>175.21130952380952</v>
      </c>
      <c r="BA29" s="289">
        <f t="shared" si="10"/>
        <v>124.32392473118281</v>
      </c>
      <c r="BB29" s="290">
        <f t="shared" si="11"/>
        <v>158.8235294117647</v>
      </c>
      <c r="BC29" s="279"/>
    </row>
    <row r="30" spans="2:57" ht="18" customHeight="1" thickBot="1">
      <c r="B30" s="285" t="s">
        <v>80</v>
      </c>
      <c r="C30" s="243">
        <v>60</v>
      </c>
      <c r="D30" s="226">
        <f t="shared" si="7"/>
        <v>211.76470588235293</v>
      </c>
      <c r="E30" s="225">
        <f t="shared" si="8"/>
        <v>2188.2352941176468</v>
      </c>
      <c r="F30" s="223">
        <f>IF(SUM(AL30:AQ30)=0,$D30,SUM(D30-AL30-AM30)-(AN30*60/AT2)-(AO30*60/AT2)-(AP30*60/AT2)-(AQ30*60/AT2))</f>
        <v>211.76470588235293</v>
      </c>
      <c r="G30" s="300">
        <f t="shared" si="12"/>
        <v>1817.6470588235295</v>
      </c>
      <c r="H30" s="306">
        <f>VALUE(hourlyJava!E7)</f>
        <v>240</v>
      </c>
      <c r="I30" s="306">
        <f t="shared" si="13"/>
        <v>3703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hourlyJava!F7</f>
        <v>0001179519/15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0</v>
      </c>
      <c r="AQ30" s="247">
        <f>VALUE(hourlyJava!K7)</f>
        <v>0</v>
      </c>
      <c r="AR30" s="521" t="str">
        <f>hourlyJava!L7</f>
        <v xml:space="preserve">
</v>
      </c>
      <c r="AS30" s="522"/>
      <c r="AT30" s="295" t="str">
        <f>hourlyJava!M7</f>
        <v xml:space="preserve">
</v>
      </c>
      <c r="AU30" s="297" t="str">
        <f>hourlyJava!N7</f>
        <v xml:space="preserve">
</v>
      </c>
      <c r="AV30" s="510" t="str">
        <f>hourlyJava!O7</f>
        <v xml:space="preserve">
</v>
      </c>
      <c r="AW30" s="510"/>
      <c r="AX30" s="221">
        <f t="shared" si="9"/>
        <v>22.666666666666668</v>
      </c>
      <c r="AY30" s="184">
        <f>I30/SUM(D20:D30)*100</f>
        <v>169.22311827956992</v>
      </c>
      <c r="BA30" s="289">
        <f t="shared" si="10"/>
        <v>123.81666666666666</v>
      </c>
      <c r="BB30" s="290">
        <f t="shared" si="11"/>
        <v>158.8235294117647</v>
      </c>
      <c r="BC30" s="279"/>
    </row>
    <row r="31" spans="2:57" ht="18" customHeight="1" thickBot="1">
      <c r="B31" s="285" t="s">
        <v>81</v>
      </c>
      <c r="C31" s="243">
        <v>60</v>
      </c>
      <c r="D31" s="226">
        <f t="shared" si="7"/>
        <v>211.76470588235293</v>
      </c>
      <c r="E31" s="225">
        <f>E30+D31</f>
        <v>2400</v>
      </c>
      <c r="F31" s="223">
        <f>IF(SUM(AL31:AQ31)=0,$D31,SUM(D31-AL31-AM31)-(AN31*60/AT2)-(AO31*60/AT2)-(AP31*60/AT2)-(AQ31*60/AT2))</f>
        <v>158.8235294117647</v>
      </c>
      <c r="G31" s="300">
        <f>IF(F31=0,0,G30+F31)</f>
        <v>1976.4705882352941</v>
      </c>
      <c r="H31" s="306">
        <f>VALUE(hourlyJava!E8)</f>
        <v>160</v>
      </c>
      <c r="I31" s="306">
        <f>IF(H31=0,0,I30+H31)</f>
        <v>3863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4" t="str">
        <f>hourlyJava!F8</f>
        <v>0001179519/15</v>
      </c>
      <c r="AL31" s="247">
        <f>VALUE(hourlyJava!G8)</f>
        <v>0</v>
      </c>
      <c r="AM31" s="248"/>
      <c r="AN31" s="247">
        <f>VALUE(hourlyJava!H8)</f>
        <v>15</v>
      </c>
      <c r="AO31" s="247">
        <f>VALUE(hourlyJava!I8)</f>
        <v>0</v>
      </c>
      <c r="AP31" s="247">
        <f>VALUE(hourlyJava!J8)</f>
        <v>0</v>
      </c>
      <c r="AQ31" s="247">
        <f>VALUE(hourlyJava!K8)</f>
        <v>0</v>
      </c>
      <c r="AR31" s="521" t="str">
        <f>hourlyJava!L8</f>
        <v xml:space="preserve">
L003</v>
      </c>
      <c r="AS31" s="522"/>
      <c r="AT31" s="295" t="str">
        <f>hourlyJava!M8</f>
        <v xml:space="preserve">
VW-0001179519 a VW-0001179009</v>
      </c>
      <c r="AU31" s="297" t="str">
        <f>hourlyJava!N8</f>
        <v xml:space="preserve">
</v>
      </c>
      <c r="AV31" s="510" t="str">
        <f>hourlyJava!O8</f>
        <v xml:space="preserve">
</v>
      </c>
      <c r="AW31" s="510"/>
      <c r="AX31" s="221">
        <f t="shared" si="9"/>
        <v>84.055555555555557</v>
      </c>
      <c r="AY31" s="184">
        <f>I31/SUM(D20:D31)*100</f>
        <v>160.95833333333334</v>
      </c>
      <c r="BA31" s="289">
        <f t="shared" si="10"/>
        <v>121.6875</v>
      </c>
      <c r="BB31" s="290">
        <f t="shared" si="11"/>
        <v>158.8235294117647</v>
      </c>
      <c r="BC31" s="279"/>
    </row>
    <row r="32" spans="2:57" ht="18" customHeight="1" thickBot="1">
      <c r="B32" s="474" t="s">
        <v>36</v>
      </c>
      <c r="C32" s="475"/>
      <c r="D32" s="233" t="s">
        <v>26</v>
      </c>
      <c r="E32" s="377">
        <f>SUM(D20:D31)</f>
        <v>2400</v>
      </c>
      <c r="F32" s="469">
        <f>SUM(F20:F31)</f>
        <v>1976.4705882352941</v>
      </c>
      <c r="G32" s="470"/>
      <c r="H32" s="527">
        <f>SUM(H20:H31)</f>
        <v>1885</v>
      </c>
      <c r="I32" s="528"/>
      <c r="J32" s="466"/>
      <c r="K32" s="467"/>
      <c r="L32" s="467"/>
      <c r="M32" s="467"/>
      <c r="N32" s="467"/>
      <c r="O32" s="467"/>
      <c r="P32" s="467"/>
      <c r="Q32" s="467"/>
      <c r="R32" s="467"/>
      <c r="S32" s="467"/>
      <c r="T32" s="467"/>
      <c r="U32" s="467"/>
      <c r="V32" s="467"/>
      <c r="W32" s="467"/>
      <c r="X32" s="467"/>
      <c r="Y32" s="467"/>
      <c r="Z32" s="467"/>
      <c r="AA32" s="467"/>
      <c r="AB32" s="467"/>
      <c r="AC32" s="467"/>
      <c r="AD32" s="467"/>
      <c r="AE32" s="467"/>
      <c r="AF32" s="467"/>
      <c r="AG32" s="467"/>
      <c r="AH32" s="467"/>
      <c r="AI32" s="467"/>
      <c r="AJ32" s="468"/>
      <c r="AK32" s="206"/>
      <c r="AL32" s="381">
        <f t="shared" ref="AL32:AQ32" si="14">SUM(AL20:AL31)</f>
        <v>0</v>
      </c>
      <c r="AM32" s="387">
        <f t="shared" si="14"/>
        <v>0</v>
      </c>
      <c r="AN32" s="207">
        <f t="shared" si="14"/>
        <v>120</v>
      </c>
      <c r="AO32" s="208">
        <f t="shared" si="14"/>
        <v>0</v>
      </c>
      <c r="AP32" s="209">
        <f t="shared" si="14"/>
        <v>0</v>
      </c>
      <c r="AQ32" s="209">
        <f t="shared" si="14"/>
        <v>0</v>
      </c>
      <c r="AR32" s="210"/>
      <c r="AS32" s="211"/>
      <c r="AT32" s="212"/>
      <c r="AU32" s="213"/>
      <c r="AV32" s="511"/>
      <c r="AW32" s="511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1.6095833333333334</v>
      </c>
      <c r="BA32" s="289"/>
      <c r="BC32" s="279"/>
    </row>
    <row r="33" spans="1:55" ht="18" customHeight="1" thickBot="1">
      <c r="B33" s="463" t="s">
        <v>123</v>
      </c>
      <c r="C33" s="464"/>
      <c r="D33" s="464"/>
      <c r="E33" s="465"/>
      <c r="F33" s="383"/>
      <c r="G33" s="384"/>
      <c r="H33" s="461">
        <f>H34/E34</f>
        <v>0.80479166666666668</v>
      </c>
      <c r="I33" s="462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78"/>
      <c r="AL33" s="388">
        <f>IF(SUM(AL34:AQ34)=0,0, ((100%-H33)*AL34)/SUM(AL34:AQ34))</f>
        <v>1.3462643678160918E-3</v>
      </c>
      <c r="AM33" s="387"/>
      <c r="AN33" s="389">
        <f>IF(SUM(AL34:AQ34)=0,0, ((100%-H33)*AN34)/SUM(AL34:AQ34) )</f>
        <v>0.13126077586206897</v>
      </c>
      <c r="AO33" s="390">
        <f>IF(SUM(AL34:AQ34)=0,0, ((100%-H33)*AO34)/SUM(AL34:AQ34) )</f>
        <v>6.2601293103448266E-2</v>
      </c>
      <c r="AP33" s="391">
        <f>IF(SUM(AL34:AQ34)=0,0, ((100%-H33)*AP34)/SUM(AL34:AQ34) )</f>
        <v>0</v>
      </c>
      <c r="AQ33" s="391">
        <f>IF(SUM(AL34:AQ34)=0,0, ((100%-H33)*AQ34)/SUM(AL34:AQ34) )</f>
        <v>0</v>
      </c>
      <c r="AR33" s="210"/>
      <c r="AS33" s="379"/>
      <c r="AT33" s="212"/>
      <c r="AU33" s="380"/>
      <c r="AV33" s="385"/>
      <c r="AW33" s="385"/>
      <c r="AX33" s="381"/>
      <c r="AY33" s="382"/>
      <c r="BA33" s="289"/>
      <c r="BC33" s="279"/>
    </row>
    <row r="34" spans="1:55" ht="18" customHeight="1" thickBot="1">
      <c r="B34" s="518" t="s">
        <v>49</v>
      </c>
      <c r="C34" s="519"/>
      <c r="D34" s="520"/>
      <c r="E34" s="234">
        <f>E19+E32</f>
        <v>4800</v>
      </c>
      <c r="F34" s="469">
        <f>SUM(F7:F18,F20:F31)</f>
        <v>3781.5294117647072</v>
      </c>
      <c r="G34" s="470"/>
      <c r="H34" s="469">
        <f>SUM(H7:H18,H20:H31)</f>
        <v>3863</v>
      </c>
      <c r="I34" s="470"/>
      <c r="J34" s="515" t="s">
        <v>49</v>
      </c>
      <c r="K34" s="516"/>
      <c r="L34" s="516"/>
      <c r="M34" s="516"/>
      <c r="N34" s="516"/>
      <c r="O34" s="516"/>
      <c r="P34" s="516"/>
      <c r="Q34" s="516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7"/>
      <c r="AL34" s="219">
        <f t="shared" ref="AL34:AQ34" si="15">AL19+AL32</f>
        <v>2</v>
      </c>
      <c r="AM34" s="386">
        <f t="shared" si="15"/>
        <v>0</v>
      </c>
      <c r="AN34" s="189">
        <f t="shared" si="15"/>
        <v>195</v>
      </c>
      <c r="AO34" s="189">
        <f t="shared" si="15"/>
        <v>93</v>
      </c>
      <c r="AP34" s="189">
        <f t="shared" si="15"/>
        <v>0</v>
      </c>
      <c r="AQ34" s="228">
        <f t="shared" si="15"/>
        <v>0</v>
      </c>
      <c r="AR34" s="513"/>
      <c r="AS34" s="514"/>
      <c r="AT34" s="187"/>
      <c r="AU34" s="220"/>
      <c r="AV34" s="188"/>
      <c r="AW34" s="229"/>
      <c r="AX34" s="474" t="s">
        <v>72</v>
      </c>
      <c r="AY34" s="475"/>
      <c r="BA34" s="289"/>
      <c r="BC34" s="279"/>
    </row>
    <row r="35" spans="1:55" s="4" customFormat="1" ht="3" customHeight="1" thickBot="1">
      <c r="A35" s="1"/>
      <c r="B35" s="430"/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30"/>
      <c r="AE35" s="430"/>
      <c r="AF35" s="430"/>
      <c r="AG35" s="430"/>
      <c r="AH35" s="430"/>
      <c r="AI35" s="430"/>
      <c r="AJ35" s="430"/>
      <c r="AK35" s="512"/>
      <c r="AL35" s="512"/>
      <c r="AM35" s="512"/>
      <c r="AN35" s="512"/>
      <c r="AO35" s="512"/>
      <c r="AP35" s="512"/>
      <c r="AQ35" s="512"/>
      <c r="AR35" s="512"/>
      <c r="AS35" s="512"/>
      <c r="AT35" s="512"/>
      <c r="AU35" s="512"/>
      <c r="AV35" s="512"/>
      <c r="AW35" s="512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504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1.2168749999999999</v>
      </c>
      <c r="AY36" s="505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506"/>
      <c r="AY37" s="507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508"/>
      <c r="AY38" s="509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 t="s">
        <v>71</v>
      </c>
    </row>
  </sheetData>
  <sheetProtection selectLockedCells="1"/>
  <mergeCells count="93"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  <mergeCell ref="AR17:AS17"/>
    <mergeCell ref="AR18:AS18"/>
    <mergeCell ref="AV17:AW17"/>
    <mergeCell ref="AV16:AW16"/>
    <mergeCell ref="AV15:AW15"/>
    <mergeCell ref="AR12:AS12"/>
    <mergeCell ref="AR13:AS13"/>
    <mergeCell ref="AR14:AS14"/>
    <mergeCell ref="AR15:AS15"/>
    <mergeCell ref="AR16:AS16"/>
    <mergeCell ref="AR7:AS7"/>
    <mergeCell ref="AR8:AS8"/>
    <mergeCell ref="AR9:AS9"/>
    <mergeCell ref="AR10:AS10"/>
    <mergeCell ref="AR11:AS11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I6:AJ6"/>
    <mergeCell ref="AR6:AS6"/>
    <mergeCell ref="K6:L6"/>
    <mergeCell ref="M6:N6"/>
    <mergeCell ref="O6:P6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X5:AY5"/>
    <mergeCell ref="J5:AJ5"/>
    <mergeCell ref="AL5:AM5"/>
    <mergeCell ref="AN5:AQ5"/>
    <mergeCell ref="AR5:AW5"/>
    <mergeCell ref="AN2:AS2"/>
    <mergeCell ref="B4:AW4"/>
    <mergeCell ref="D5:E5"/>
    <mergeCell ref="F2:AJ2"/>
    <mergeCell ref="F3:AJ3"/>
    <mergeCell ref="F5:G5"/>
    <mergeCell ref="H5:I5"/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</mergeCells>
  <conditionalFormatting sqref="F7:F18">
    <cfRule type="expression" dxfId="102" priority="47">
      <formula>$F7=0</formula>
    </cfRule>
    <cfRule type="expression" dxfId="101" priority="51">
      <formula>$F7&gt;$BB7</formula>
    </cfRule>
    <cfRule type="expression" dxfId="100" priority="52">
      <formula>$F7&lt;$BB7</formula>
    </cfRule>
    <cfRule type="expression" dxfId="99" priority="53">
      <formula>$F7=$BB7</formula>
    </cfRule>
  </conditionalFormatting>
  <conditionalFormatting sqref="F20:F31">
    <cfRule type="expression" dxfId="98" priority="38">
      <formula>$F20=0</formula>
    </cfRule>
    <cfRule type="expression" dxfId="97" priority="39">
      <formula>$F20&gt;$BB20</formula>
    </cfRule>
    <cfRule type="expression" dxfId="96" priority="40">
      <formula>$F20&lt;$BB20</formula>
    </cfRule>
    <cfRule type="expression" dxfId="95" priority="41">
      <formula>$F20=$BB20</formula>
    </cfRule>
  </conditionalFormatting>
  <conditionalFormatting sqref="AX36:AY38">
    <cfRule type="expression" dxfId="94" priority="11">
      <formula>$AX$36=0</formula>
    </cfRule>
    <cfRule type="expression" dxfId="93" priority="27">
      <formula>$AX$36&gt;$AX$3</formula>
    </cfRule>
    <cfRule type="expression" dxfId="92" priority="28">
      <formula>$AX$36=$AX$3</formula>
    </cfRule>
    <cfRule type="expression" dxfId="91" priority="29">
      <formula>$AX$36&lt;$AX$3</formula>
    </cfRule>
  </conditionalFormatting>
  <conditionalFormatting sqref="B19:H19 J19:AY19">
    <cfRule type="expression" dxfId="90" priority="12">
      <formula>$AY$19=0</formula>
    </cfRule>
    <cfRule type="expression" dxfId="89" priority="21">
      <formula>$AY$19&gt;$AX$3</formula>
    </cfRule>
    <cfRule type="expression" dxfId="88" priority="22">
      <formula>$AY$19=$AX$3</formula>
    </cfRule>
    <cfRule type="expression" dxfId="87" priority="23">
      <formula>$AY$19&lt;$AX$3</formula>
    </cfRule>
  </conditionalFormatting>
  <conditionalFormatting sqref="B32:H32 J33:AY33 B33 F33:H33 J32 AK32:AY32">
    <cfRule type="expression" dxfId="86" priority="14">
      <formula>$AY$32=0</formula>
    </cfRule>
    <cfRule type="expression" dxfId="85" priority="18">
      <formula>$AY$32=$AX$3</formula>
    </cfRule>
    <cfRule type="expression" dxfId="84" priority="19">
      <formula>$AY$32&gt;$AX$3</formula>
    </cfRule>
    <cfRule type="expression" dxfId="83" priority="20">
      <formula>$AY$32&lt;$AX$3</formula>
    </cfRule>
  </conditionalFormatting>
  <conditionalFormatting sqref="H7:H18">
    <cfRule type="expression" dxfId="82" priority="6">
      <formula>AND($H7&gt;$F7, $H7&gt;$D7)</formula>
    </cfRule>
    <cfRule type="expression" dxfId="81" priority="7">
      <formula>AND($H7&gt;$F7,$H7&lt;$D7)</formula>
    </cfRule>
    <cfRule type="expression" dxfId="80" priority="8">
      <formula>AND($H7&lt;$F7,$H7&lt;$D7)</formula>
    </cfRule>
    <cfRule type="expression" dxfId="79" priority="9">
      <formula>$H7=0</formula>
    </cfRule>
    <cfRule type="expression" dxfId="78" priority="10">
      <formula>AND($H7=$F7,$H7=$D7)</formula>
    </cfRule>
  </conditionalFormatting>
  <conditionalFormatting sqref="H20:H31">
    <cfRule type="expression" dxfId="77" priority="1">
      <formula>AND($H20&gt;$F20, $H20&gt;$D20)</formula>
    </cfRule>
    <cfRule type="expression" dxfId="76" priority="2">
      <formula>AND($H20&gt;$F20,$H20&lt;$D20)</formula>
    </cfRule>
    <cfRule type="expression" dxfId="75" priority="3">
      <formula>AND($H20&lt;$F20,$H20&lt;$D20)</formula>
    </cfRule>
    <cfRule type="expression" dxfId="74" priority="4">
      <formula>$H20=0</formula>
    </cfRule>
    <cfRule type="expression" dxfId="73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ignoredErrors>
    <ignoredError sqref="B13" twoDigitTextYear="1"/>
  </ignoredError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E44"/>
  <sheetViews>
    <sheetView showGridLines="0" tabSelected="1" zoomScale="50" zoomScaleNormal="50" workbookViewId="0">
      <selection activeCell="C27" sqref="C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str">
        <f>hourlyJava!C26</f>
        <v>L003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>
        <f>hourlyJava!B26</f>
        <v>43020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16"/>
      <c r="AY4" s="416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96</v>
      </c>
      <c r="G5" s="489"/>
      <c r="H5" s="490" t="s">
        <v>95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15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176.47058823529412</v>
      </c>
      <c r="G7" s="300">
        <f>F7</f>
        <v>176.47058823529412</v>
      </c>
      <c r="H7" s="304">
        <f>VALUE(hourlyJava!E9)</f>
        <v>215</v>
      </c>
      <c r="I7" s="304">
        <f>H7</f>
        <v>215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0001179009/15</v>
      </c>
      <c r="AL7" s="247">
        <f>VALUE(hourlyJava!G9)</f>
        <v>0</v>
      </c>
      <c r="AM7" s="27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3" t="str">
        <f>hourlyJava!M9</f>
        <v xml:space="preserve">
</v>
      </c>
      <c r="AU7" s="296" t="str">
        <f>hourlyJava!N9</f>
        <v xml:space="preserve">
</v>
      </c>
      <c r="AV7" s="500" t="str">
        <f>hourlyJava!O9</f>
        <v xml:space="preserve">
</v>
      </c>
      <c r="AW7" s="500"/>
      <c r="AX7" s="183">
        <f>IF(H7=0, 0, H7/D7*100)</f>
        <v>121.83333333333333</v>
      </c>
      <c r="AY7" s="196">
        <f>AX7</f>
        <v>121.83333333333333</v>
      </c>
      <c r="BA7" s="289">
        <f>AY7</f>
        <v>121.83333333333333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211.76470588235293</v>
      </c>
      <c r="G8" s="300">
        <f>IF(F8=0,0,G7+F8)</f>
        <v>388.23529411764707</v>
      </c>
      <c r="H8" s="304">
        <f>VALUE(hourlyJava!E10)</f>
        <v>230</v>
      </c>
      <c r="I8" s="304">
        <f>IF(H8=0,0,I7+H8)</f>
        <v>445</v>
      </c>
      <c r="J8" s="411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0001179009/15</v>
      </c>
      <c r="AL8" s="247">
        <f>VALUE(hourlyJava!G10)</f>
        <v>0</v>
      </c>
      <c r="AM8" s="27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3" t="str">
        <f>hourlyJava!M10</f>
        <v xml:space="preserve">
</v>
      </c>
      <c r="AU8" s="296" t="str">
        <f>hourlyJava!N10</f>
        <v xml:space="preserve">
</v>
      </c>
      <c r="AV8" s="500" t="str">
        <f>hourlyJava!O10</f>
        <v xml:space="preserve">
</v>
      </c>
      <c r="AW8" s="500"/>
      <c r="AX8" s="183">
        <f t="shared" ref="AX8:AX19" si="1">IF(H8=0, 0, H8/D8*100)</f>
        <v>108.61111111111113</v>
      </c>
      <c r="AY8" s="184">
        <f>$I8/SUM($D7:$D8)*100</f>
        <v>114.62121212121212</v>
      </c>
      <c r="BA8" s="289">
        <f>$I8/SUM($D$7:$D8)*100</f>
        <v>114.62121212121212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9" si="3">E8+D9</f>
        <v>600</v>
      </c>
      <c r="F9" s="223">
        <f>IF(SUM(AL9:AQ9)=0,$D9,SUM(D9-AL9-AM9)-(AN9*60/AT2)-(AO9*60/AT2)-(AP9*60/AT2)-(AQ9*60/AT2))</f>
        <v>105.88235294117646</v>
      </c>
      <c r="G9" s="300">
        <f t="shared" ref="G9:G18" si="4">IF(F9=0,0,G8+F9)</f>
        <v>494.11764705882354</v>
      </c>
      <c r="H9" s="304">
        <f>VALUE(hourlyJava!E11)</f>
        <v>112</v>
      </c>
      <c r="I9" s="304">
        <f t="shared" ref="I9:I24" si="5">IF(H9=0,0,I8+H9)</f>
        <v>557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0001170641/15</v>
      </c>
      <c r="AL9" s="247">
        <f>VALUE(hourlyJava!G11)</f>
        <v>0</v>
      </c>
      <c r="AM9" s="278"/>
      <c r="AN9" s="247">
        <f>VALUE(hourlyJava!H11)</f>
        <v>30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L003</v>
      </c>
      <c r="AS9" s="524"/>
      <c r="AT9" s="293" t="str">
        <f>hourlyJava!M11</f>
        <v xml:space="preserve">
VW-0001179009 a CHRYSLER-0001170641</v>
      </c>
      <c r="AU9" s="296" t="str">
        <f>hourlyJava!N11</f>
        <v xml:space="preserve">
</v>
      </c>
      <c r="AV9" s="500" t="str">
        <f>hourlyJava!O11</f>
        <v xml:space="preserve">
</v>
      </c>
      <c r="AW9" s="500"/>
      <c r="AX9" s="183">
        <f t="shared" si="1"/>
        <v>52.8888888888889</v>
      </c>
      <c r="AY9" s="184">
        <f>I9/SUM(D7:D9)*100</f>
        <v>92.833333333333329</v>
      </c>
      <c r="BA9" s="289">
        <f>$I9/SUM($D$7:$D9)*100</f>
        <v>92.833333333333329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>
        <f>IF(SUM(AL10:AQ10)=0,$D10,SUM(D10-AL10-AM10)-(AN10*60/AT2)-(AO10*60/AT2)-(AP10*60/AT2)-(AQ10*60/AT2))</f>
        <v>175.47058823529409</v>
      </c>
      <c r="G10" s="300">
        <f t="shared" si="4"/>
        <v>669.58823529411757</v>
      </c>
      <c r="H10" s="304">
        <f>VALUE(hourlyJava!E12)</f>
        <v>200</v>
      </c>
      <c r="I10" s="304">
        <f t="shared" si="5"/>
        <v>757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0001170641/15</v>
      </c>
      <c r="AL10" s="247">
        <f>VALUE(hourlyJava!G12)</f>
        <v>1</v>
      </c>
      <c r="AM10" s="278"/>
      <c r="AN10" s="247">
        <f>VALUE(hourlyJava!H12)</f>
        <v>0</v>
      </c>
      <c r="AO10" s="249">
        <f>VALUE(hourlyJava!I12)</f>
        <v>10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</v>
      </c>
      <c r="AS10" s="524"/>
      <c r="AT10" s="293" t="str">
        <f>hourlyJava!M12</f>
        <v xml:space="preserve">
</v>
      </c>
      <c r="AU10" s="296" t="str">
        <f>hourlyJava!N12</f>
        <v xml:space="preserve">
1190
</v>
      </c>
      <c r="AV10" s="500" t="str">
        <f>hourlyJava!O12</f>
        <v xml:space="preserve">
Cambio de arnes
</v>
      </c>
      <c r="AW10" s="500"/>
      <c r="AX10" s="183">
        <f t="shared" si="1"/>
        <v>94.444444444444457</v>
      </c>
      <c r="AY10" s="184">
        <f>I10/SUM(D7:D10)*100</f>
        <v>93.253623188405797</v>
      </c>
      <c r="BA10" s="289">
        <f>$I10/SUM($D$7:$D10)*100</f>
        <v>93.253623188405797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105.88235294117646</v>
      </c>
      <c r="E11" s="225">
        <f t="shared" si="3"/>
        <v>917.64705882352939</v>
      </c>
      <c r="F11" s="223">
        <f>IF(SUM(AL11:AQ11)=0,$D11,SUM(D11-AL11-AM11)-(AN11*60/AT2)-(AO11*60/AT2)-(AP11*60/AT2)-(AQ11*60/AT2))</f>
        <v>83.705882352941174</v>
      </c>
      <c r="G11" s="300">
        <f t="shared" si="4"/>
        <v>753.29411764705878</v>
      </c>
      <c r="H11" s="304">
        <f>VALUE(hourlyJava!E13)</f>
        <v>215</v>
      </c>
      <c r="I11" s="304">
        <f t="shared" si="5"/>
        <v>972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0001170641/15</v>
      </c>
      <c r="AL11" s="247">
        <f>VALUE(hourlyJava!G13)</f>
        <v>1</v>
      </c>
      <c r="AM11" s="278"/>
      <c r="AN11" s="247">
        <f>VALUE(hourlyJava!H13)</f>
        <v>0</v>
      </c>
      <c r="AO11" s="249">
        <f>VALUE(hourlyJava!I13)</f>
        <v>6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</v>
      </c>
      <c r="AS11" s="524"/>
      <c r="AT11" s="293" t="str">
        <f>hourlyJava!M13</f>
        <v xml:space="preserve">
</v>
      </c>
      <c r="AU11" s="296" t="str">
        <f>hourlyJava!N13</f>
        <v xml:space="preserve">
1060
</v>
      </c>
      <c r="AV11" s="500" t="str">
        <f>hourlyJava!O13</f>
        <v xml:space="preserve">
Cambio de mordazas
</v>
      </c>
      <c r="AW11" s="500"/>
      <c r="AX11" s="183">
        <f t="shared" si="1"/>
        <v>203.0555555555556</v>
      </c>
      <c r="AY11" s="184">
        <f>I11/SUM(D7:D11)*100</f>
        <v>105.92307692307692</v>
      </c>
      <c r="BA11" s="289">
        <f>$I11/SUM($D$7:$D11)*100</f>
        <v>105.92307692307692</v>
      </c>
      <c r="BB11" s="290">
        <f t="shared" si="2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1129.4117647058824</v>
      </c>
      <c r="F12" s="223">
        <f>IF(SUM(AL12:AQ12)=0,$D12,SUM(D12-AL12-AM12)-(AN12*60/AT2)-(AO12*60/AT2)-(AP12*60/AT2)-(AQ12*60/AT2))</f>
        <v>59.999999999999993</v>
      </c>
      <c r="G12" s="300">
        <f>IF(F12=0,0,G11+F12)</f>
        <v>813.29411764705878</v>
      </c>
      <c r="H12" s="304">
        <f>VALUE(hourlyJava!E14)</f>
        <v>66</v>
      </c>
      <c r="I12" s="304">
        <f t="shared" si="5"/>
        <v>1038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0001180603/15</v>
      </c>
      <c r="AL12" s="247">
        <f>VALUE(hourlyJava!G14)</f>
        <v>0</v>
      </c>
      <c r="AM12" s="278"/>
      <c r="AN12" s="247">
        <f>VALUE(hourlyJava!H14)</f>
        <v>30</v>
      </c>
      <c r="AO12" s="249">
        <f>VALUE(hourlyJava!I14)</f>
        <v>13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L003</v>
      </c>
      <c r="AS12" s="524"/>
      <c r="AT12" s="293" t="str">
        <f>hourlyJava!M14</f>
        <v xml:space="preserve">
CHRYSLER-0001170641 a FORD-0001180603</v>
      </c>
      <c r="AU12" s="296" t="str">
        <f>hourlyJava!N14</f>
        <v xml:space="preserve">
1210
</v>
      </c>
      <c r="AV12" s="500" t="str">
        <f>hourlyJava!O14</f>
        <v xml:space="preserve">
Ajuste de etiqueta en STN 1210
</v>
      </c>
      <c r="AW12" s="500"/>
      <c r="AX12" s="183">
        <f t="shared" si="1"/>
        <v>31.166666666666671</v>
      </c>
      <c r="AY12" s="184">
        <f>I12/SUM(D7:D12)*100</f>
        <v>91.906249999999986</v>
      </c>
      <c r="BA12" s="289">
        <f>$I12/SUM($D$7:$D12)*100</f>
        <v>91.906249999999986</v>
      </c>
      <c r="BB12" s="290">
        <f t="shared" si="2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1341.1764705882354</v>
      </c>
      <c r="F13" s="223">
        <f>IF(SUM(AL13:AQ13)=0,$D13,SUM(D13-AL13-AM13)-(AN13*60/AT2)-(AO13*60/AT2)-(AP13*60/AT2)-(AQ13*60/AT2))</f>
        <v>211.76470588235293</v>
      </c>
      <c r="G13" s="300">
        <f t="shared" si="4"/>
        <v>1025.0588235294117</v>
      </c>
      <c r="H13" s="304">
        <f>VALUE(hourlyJava!E15)</f>
        <v>120</v>
      </c>
      <c r="I13" s="304">
        <f t="shared" si="5"/>
        <v>1158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0001180603/15</v>
      </c>
      <c r="AL13" s="247">
        <f>VALUE(hourlyJava!G15)</f>
        <v>0</v>
      </c>
      <c r="AM13" s="278"/>
      <c r="AN13" s="247">
        <f>VALUE(hourlyJava!H15)</f>
        <v>0</v>
      </c>
      <c r="AO13" s="249">
        <f>VALUE(hourlyJava!I15)</f>
        <v>0</v>
      </c>
      <c r="AP13" s="249">
        <f>VALUE(hourlyJava!J15)</f>
        <v>0</v>
      </c>
      <c r="AQ13" s="249">
        <f>VALUE(hourlyJava!K15)</f>
        <v>0</v>
      </c>
      <c r="AR13" s="523" t="str">
        <f>hourlyJava!L15</f>
        <v xml:space="preserve">
</v>
      </c>
      <c r="AS13" s="524"/>
      <c r="AT13" s="293" t="str">
        <f>hourlyJava!M15</f>
        <v xml:space="preserve">
</v>
      </c>
      <c r="AU13" s="296" t="str">
        <f>hourlyJava!N15</f>
        <v xml:space="preserve">
</v>
      </c>
      <c r="AV13" s="500" t="str">
        <f>hourlyJava!O15</f>
        <v xml:space="preserve">
</v>
      </c>
      <c r="AW13" s="500"/>
      <c r="AX13" s="183">
        <f t="shared" si="1"/>
        <v>56.666666666666664</v>
      </c>
      <c r="AY13" s="184">
        <f>I13/SUM(D7:D13)*100</f>
        <v>86.34210526315789</v>
      </c>
      <c r="BA13" s="289">
        <f>$I13/SUM($D$7:$D13)*100</f>
        <v>86.34210526315789</v>
      </c>
      <c r="BB13" s="290">
        <f t="shared" si="2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1552.9411764705883</v>
      </c>
      <c r="F14" s="223">
        <f>IF(SUM(AL14:AQ14)=0,$D14,SUM(D14-AL14-AM14)-(AN14*60/AT2)-(AO14*60/AT2)-(AP14*60/AT2)-(AQ14*60/AT2))</f>
        <v>190.58823529411762</v>
      </c>
      <c r="G14" s="300">
        <f t="shared" si="4"/>
        <v>1215.6470588235293</v>
      </c>
      <c r="H14" s="304">
        <f>VALUE(hourlyJava!E16)</f>
        <v>215</v>
      </c>
      <c r="I14" s="304">
        <f t="shared" si="5"/>
        <v>1373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0001180603/15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6</v>
      </c>
      <c r="AP14" s="249">
        <f>VALUE(hourlyJava!J16)</f>
        <v>0</v>
      </c>
      <c r="AQ14" s="249">
        <f>VALUE(hourlyJava!K16)</f>
        <v>0</v>
      </c>
      <c r="AR14" s="523" t="str">
        <f>hourlyJava!L16</f>
        <v xml:space="preserve">
</v>
      </c>
      <c r="AS14" s="524"/>
      <c r="AT14" s="293" t="str">
        <f>hourlyJava!M16</f>
        <v xml:space="preserve">
</v>
      </c>
      <c r="AU14" s="296" t="str">
        <f>hourlyJava!N16</f>
        <v xml:space="preserve">
1020
</v>
      </c>
      <c r="AV14" s="500" t="str">
        <f>hourlyJava!O16</f>
        <v xml:space="preserve">
Cambio de ribon STN 1210
</v>
      </c>
      <c r="AW14" s="500"/>
      <c r="AX14" s="183">
        <f t="shared" si="1"/>
        <v>101.5277777777778</v>
      </c>
      <c r="AY14" s="184">
        <f>I14/SUM(D7:D14)*100</f>
        <v>88.412878787878796</v>
      </c>
      <c r="BA14" s="289">
        <f>$I14/SUM($D$7:$D14)*100</f>
        <v>88.412878787878796</v>
      </c>
      <c r="BB14" s="290">
        <f t="shared" si="2"/>
        <v>158.8235294117647</v>
      </c>
      <c r="BC14" s="280"/>
      <c r="BD14" s="235"/>
      <c r="BE14" s="235"/>
    </row>
    <row r="15" spans="1:57" ht="18" customHeight="1" thickBo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1764.7058823529412</v>
      </c>
      <c r="F15" s="223">
        <f>IF(SUM(AL15:AQ15)=0,$D15,SUM(D15-AL15-AM15)-(AN15*60/AT2)-(AO15*60/AT2)-(AP15*60/AT2)-(AQ15*60/AT2))</f>
        <v>176.47058823529409</v>
      </c>
      <c r="G15" s="300">
        <f t="shared" si="4"/>
        <v>1392.1176470588234</v>
      </c>
      <c r="H15" s="304">
        <f>VALUE(hourlyJava!E17)</f>
        <v>159</v>
      </c>
      <c r="I15" s="304">
        <f t="shared" si="5"/>
        <v>1532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0001180603/15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10</v>
      </c>
      <c r="AP15" s="249">
        <f>VALUE(hourlyJava!J17)</f>
        <v>0</v>
      </c>
      <c r="AQ15" s="249">
        <f>VALUE(hourlyJava!K17)</f>
        <v>0</v>
      </c>
      <c r="AR15" s="523" t="str">
        <f>hourlyJava!L17</f>
        <v xml:space="preserve">
</v>
      </c>
      <c r="AS15" s="524"/>
      <c r="AT15" s="293" t="str">
        <f>hourlyJava!M17</f>
        <v xml:space="preserve">
</v>
      </c>
      <c r="AU15" s="296" t="str">
        <f>hourlyJava!N17</f>
        <v xml:space="preserve">
1140
</v>
      </c>
      <c r="AV15" s="500" t="str">
        <f>hourlyJava!O17</f>
        <v xml:space="preserve">
Limpieza de herramental STN 1140
</v>
      </c>
      <c r="AW15" s="500"/>
      <c r="AX15" s="183">
        <f t="shared" si="1"/>
        <v>75.083333333333329</v>
      </c>
      <c r="AY15" s="184">
        <f>G15/SUM(D7:D15)*100</f>
        <v>78.886666666666656</v>
      </c>
      <c r="BA15" s="289">
        <f>$I15/SUM($D$7:$D15)*100</f>
        <v>86.813333333333333</v>
      </c>
      <c r="BB15" s="290">
        <f t="shared" si="2"/>
        <v>158.8235294117647</v>
      </c>
      <c r="BC15" s="280"/>
      <c r="BD15" s="235"/>
      <c r="BE15" s="235"/>
    </row>
    <row r="16" spans="1:57" ht="18" customHeight="1" thickBot="1">
      <c r="B16" s="474" t="s">
        <v>27</v>
      </c>
      <c r="C16" s="475"/>
      <c r="D16" s="233" t="s">
        <v>26</v>
      </c>
      <c r="E16" s="377">
        <f>SUM(D7:D15)</f>
        <v>1764.7058823529412</v>
      </c>
      <c r="F16" s="476">
        <f>SUM(G7:G15)</f>
        <v>6927.823529411764</v>
      </c>
      <c r="G16" s="477"/>
      <c r="H16" s="525">
        <f>SUM(H7:H15)</f>
        <v>1532</v>
      </c>
      <c r="I16" s="526"/>
      <c r="J16" s="532"/>
      <c r="K16" s="533"/>
      <c r="L16" s="533"/>
      <c r="M16" s="533"/>
      <c r="N16" s="533"/>
      <c r="O16" s="533"/>
      <c r="P16" s="533"/>
      <c r="Q16" s="533"/>
      <c r="R16" s="533"/>
      <c r="S16" s="533"/>
      <c r="T16" s="533"/>
      <c r="U16" s="533"/>
      <c r="V16" s="533"/>
      <c r="W16" s="533"/>
      <c r="X16" s="533"/>
      <c r="Y16" s="533"/>
      <c r="Z16" s="533"/>
      <c r="AA16" s="533"/>
      <c r="AB16" s="533"/>
      <c r="AC16" s="533"/>
      <c r="AD16" s="533"/>
      <c r="AE16" s="533"/>
      <c r="AF16" s="533"/>
      <c r="AG16" s="533"/>
      <c r="AH16" s="533"/>
      <c r="AI16" s="533"/>
      <c r="AJ16" s="534"/>
      <c r="AK16" s="206"/>
      <c r="AL16" s="207">
        <f t="shared" ref="AL16:AQ16" si="6">SUM(AL7:AL15)</f>
        <v>2</v>
      </c>
      <c r="AM16" s="412">
        <f t="shared" si="6"/>
        <v>0</v>
      </c>
      <c r="AN16" s="207">
        <f t="shared" si="6"/>
        <v>60</v>
      </c>
      <c r="AO16" s="208">
        <f t="shared" si="6"/>
        <v>45</v>
      </c>
      <c r="AP16" s="209">
        <f t="shared" si="6"/>
        <v>0</v>
      </c>
      <c r="AQ16" s="209">
        <f t="shared" si="6"/>
        <v>0</v>
      </c>
      <c r="AR16" s="210"/>
      <c r="AS16" s="211"/>
      <c r="AT16" s="212"/>
      <c r="AU16" s="213"/>
      <c r="AV16" s="511"/>
      <c r="AW16" s="511"/>
      <c r="AX16" s="207" t="s">
        <v>27</v>
      </c>
      <c r="AY16" s="260">
        <f>IF(AY15&lt;&gt;0,AY15,IF(AY14&lt;&gt;0,AY14,IF(AY13&lt;&gt;0,AY13,IF(AY11&lt;&gt;0,AY11,IF(AY10&lt;&gt;0,AY10,IF(AY9&lt;&gt;0,AY9,IF(AY8&lt;&gt;0,AY8,IF(AY7&lt;&gt;0,AY7,IF(AY6&lt;&gt;0,AY6,IF(AY5&lt;&gt;0,AY5,IF(AY4&lt;&gt;0,AY4,IF(AY3=0,AX3,IF(AY3&lt;&gt;0,AY3)))))))))))))/100</f>
        <v>0.7888666666666666</v>
      </c>
      <c r="BA16" s="289"/>
      <c r="BC16" s="279"/>
    </row>
    <row r="17" spans="2:57" ht="18" customHeight="1">
      <c r="B17" s="191" t="s">
        <v>29</v>
      </c>
      <c r="C17" s="243">
        <v>50</v>
      </c>
      <c r="D17" s="224">
        <f t="shared" si="0"/>
        <v>176.47058823529412</v>
      </c>
      <c r="E17" s="225">
        <f>E15+D17</f>
        <v>1941.1764705882354</v>
      </c>
      <c r="F17" s="223">
        <f>IF(SUM(AL17:AQ17)=0,$D17,SUM(D17-AL17-AM17)-(AN17*60/AT2)-(AO17*60/AT2)-(AP17*60/AT2)-(AQ17*60/AT2))</f>
        <v>176.47058823529412</v>
      </c>
      <c r="G17" s="300">
        <f>IF(F17=0,0,G15+F17)</f>
        <v>1568.5882352941176</v>
      </c>
      <c r="H17" s="304">
        <f>VALUE(hourlyJava!E18)</f>
        <v>220</v>
      </c>
      <c r="I17" s="304">
        <f>IF(H15=0,0,I15+H17)</f>
        <v>1752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hourlyJava!F18</f>
        <v>0001180603/15</v>
      </c>
      <c r="AL17" s="247">
        <f>VALUE(hourlyJava!G18)</f>
        <v>0</v>
      </c>
      <c r="AM17" s="278"/>
      <c r="AN17" s="247">
        <f>VALUE(hourlyJava!H18)</f>
        <v>0</v>
      </c>
      <c r="AO17" s="249">
        <f>VALUE(hourlyJava!I18)</f>
        <v>0</v>
      </c>
      <c r="AP17" s="249">
        <f>VALUE(hourlyJava!J18)</f>
        <v>0</v>
      </c>
      <c r="AQ17" s="249">
        <f>VALUE(hourlyJava!K18)</f>
        <v>0</v>
      </c>
      <c r="AR17" s="523" t="str">
        <f>hourlyJava!L18</f>
        <v xml:space="preserve">
</v>
      </c>
      <c r="AS17" s="524"/>
      <c r="AT17" s="293" t="str">
        <f>hourlyJava!M18</f>
        <v xml:space="preserve">
</v>
      </c>
      <c r="AU17" s="296" t="str">
        <f>hourlyJava!N18</f>
        <v xml:space="preserve">
</v>
      </c>
      <c r="AV17" s="500" t="str">
        <f>hourlyJava!O18</f>
        <v xml:space="preserve">
</v>
      </c>
      <c r="AW17" s="500"/>
      <c r="AX17" s="183">
        <f t="shared" si="1"/>
        <v>124.66666666666666</v>
      </c>
      <c r="AY17" s="184">
        <f>I17/SUM(D7:D17)*100</f>
        <v>90.25454545454545</v>
      </c>
      <c r="BA17" s="289">
        <f>$I17/SUM($D$7:$D17)*100</f>
        <v>90.25454545454545</v>
      </c>
      <c r="BB17" s="290">
        <f t="shared" si="2"/>
        <v>132.35294117647058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2152.9411764705883</v>
      </c>
      <c r="F18" s="223">
        <f>IF(SUM(AL18:AQ18)=0,$D18,SUM(D18-AL18-AM18)-(AN18*60/AT2)-(AO18*60/AT2)-(AP18*60/AT2)-(AQ18*60/AT2))</f>
        <v>42.35294117647058</v>
      </c>
      <c r="G18" s="300">
        <f t="shared" si="4"/>
        <v>1610.9411764705881</v>
      </c>
      <c r="H18" s="304">
        <f>VALUE(hourlyJava!E19)</f>
        <v>48</v>
      </c>
      <c r="I18" s="304">
        <f t="shared" si="5"/>
        <v>1800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2" t="str">
        <f>hourlyJava!F19</f>
        <v>0001180603/15</v>
      </c>
      <c r="AL18" s="247">
        <f>VALUE(hourlyJava!G19)</f>
        <v>0</v>
      </c>
      <c r="AM18" s="278"/>
      <c r="AN18" s="247">
        <f>VALUE(hourlyJava!H19)</f>
        <v>0</v>
      </c>
      <c r="AO18" s="249">
        <f>VALUE(hourlyJava!I19)</f>
        <v>48</v>
      </c>
      <c r="AP18" s="249">
        <f>VALUE(hourlyJava!J19)</f>
        <v>0</v>
      </c>
      <c r="AQ18" s="249">
        <f>VALUE(hourlyJava!K19)</f>
        <v>0</v>
      </c>
      <c r="AR18" s="523" t="str">
        <f>hourlyJava!L19</f>
        <v xml:space="preserve">
</v>
      </c>
      <c r="AS18" s="524"/>
      <c r="AT18" s="293" t="str">
        <f>hourlyJava!M19</f>
        <v xml:space="preserve">
</v>
      </c>
      <c r="AU18" s="296" t="str">
        <f>hourlyJava!N19</f>
        <v xml:space="preserve">
1040
</v>
      </c>
      <c r="AV18" s="500" t="str">
        <f>hourlyJava!O19</f>
        <v xml:space="preserve">
Ajuste de camara STN 1040
</v>
      </c>
      <c r="AW18" s="500"/>
      <c r="AX18" s="183">
        <f t="shared" si="1"/>
        <v>22.666666666666668</v>
      </c>
      <c r="AY18" s="184">
        <f>I18/SUM(D7:D18)*100</f>
        <v>83.606557377049171</v>
      </c>
      <c r="BA18" s="289">
        <f>$I18/SUM($D$7:$D18)*100</f>
        <v>83.606557377049171</v>
      </c>
      <c r="BB18" s="290">
        <f t="shared" si="2"/>
        <v>158.8235294117647</v>
      </c>
      <c r="BC18" s="280"/>
      <c r="BD18" s="235"/>
      <c r="BE18" s="235"/>
    </row>
    <row r="19" spans="2:57" ht="18" customHeight="1" thickBot="1">
      <c r="B19" s="428" t="s">
        <v>31</v>
      </c>
      <c r="C19" s="242">
        <v>60</v>
      </c>
      <c r="D19" s="224">
        <f t="shared" si="0"/>
        <v>211.76470588235293</v>
      </c>
      <c r="E19" s="225">
        <f t="shared" si="3"/>
        <v>2364.7058823529414</v>
      </c>
      <c r="F19" s="223">
        <f>IF(SUM(AL19:AQ19)=0,$D19,SUM(D19-AL19-AM19)-(AN19*60/AT2)-(AO19*60/AT2)-(AP19*60/AT2)-(AQ19*60/AT2))</f>
        <v>158.8235294117647</v>
      </c>
      <c r="G19" s="300">
        <f>IF(F19=0,0,G18+F19)</f>
        <v>1769.7647058823527</v>
      </c>
      <c r="H19" s="304">
        <f>VALUE(hourlyJava!E20)</f>
        <v>178</v>
      </c>
      <c r="I19" s="304">
        <f>IF(H19=0,0,I18+H19)</f>
        <v>1978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2" t="str">
        <f>hourlyJava!F20</f>
        <v>0001180603/15</v>
      </c>
      <c r="AL19" s="247">
        <f>VALUE(hourlyJava!G20)</f>
        <v>0</v>
      </c>
      <c r="AM19" s="278"/>
      <c r="AN19" s="247">
        <f>VALUE(hourlyJava!H20)</f>
        <v>15</v>
      </c>
      <c r="AO19" s="249">
        <f>VALUE(hourlyJava!I20)</f>
        <v>0</v>
      </c>
      <c r="AP19" s="249">
        <f>VALUE(hourlyJava!J20)</f>
        <v>0</v>
      </c>
      <c r="AQ19" s="249">
        <f>VALUE(hourlyJava!K20)</f>
        <v>0</v>
      </c>
      <c r="AR19" s="523" t="str">
        <f>hourlyJava!L20</f>
        <v xml:space="preserve">
L003</v>
      </c>
      <c r="AS19" s="524"/>
      <c r="AT19" s="293" t="str">
        <f>hourlyJava!M20</f>
        <v xml:space="preserve">
FORD-0001180603 a AUDI-0001172403</v>
      </c>
      <c r="AU19" s="296" t="str">
        <f>hourlyJava!N20</f>
        <v xml:space="preserve">
</v>
      </c>
      <c r="AV19" s="500" t="str">
        <f>hourlyJava!O20</f>
        <v xml:space="preserve">
</v>
      </c>
      <c r="AW19" s="500"/>
      <c r="AX19" s="183">
        <f t="shared" si="1"/>
        <v>84.055555555555557</v>
      </c>
      <c r="AY19" s="184">
        <f>I19/SUM(D7:D19)*100</f>
        <v>83.646766169154219</v>
      </c>
      <c r="BA19" s="289">
        <f>$I19/SUM($D$7:$D19)*100</f>
        <v>83.646766169154219</v>
      </c>
      <c r="BB19" s="290">
        <f t="shared" si="2"/>
        <v>158.8235294117647</v>
      </c>
      <c r="BC19" s="279"/>
    </row>
    <row r="20" spans="2:57" ht="18" customHeight="1" thickBot="1">
      <c r="B20" s="429" t="s">
        <v>32</v>
      </c>
      <c r="C20" s="246">
        <v>60</v>
      </c>
      <c r="D20" s="224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158.8235294117647</v>
      </c>
      <c r="G20" s="299">
        <f>F20</f>
        <v>158.8235294117647</v>
      </c>
      <c r="H20" s="305">
        <f>VALUE(hourlyJava!E21)</f>
        <v>180</v>
      </c>
      <c r="I20" s="304">
        <f>IF(H20=0,0,I19+H20)</f>
        <v>2158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0001172403/15</v>
      </c>
      <c r="AL20" s="247">
        <f>VALUE(hourlyJava!G21)</f>
        <v>0</v>
      </c>
      <c r="AM20" s="278"/>
      <c r="AN20" s="247">
        <f>VALUE(hourlyJava!H21)</f>
        <v>15</v>
      </c>
      <c r="AO20" s="247">
        <f>VALUE(hourlyJava!I21)</f>
        <v>0</v>
      </c>
      <c r="AP20" s="247">
        <f>VALUE(hourlyJava!J21)</f>
        <v>0</v>
      </c>
      <c r="AQ20" s="247">
        <f>VALUE(hourlyJava!K21)</f>
        <v>0</v>
      </c>
      <c r="AR20" s="521" t="str">
        <f>hourlyJava!L21</f>
        <v xml:space="preserve">
L003</v>
      </c>
      <c r="AS20" s="522"/>
      <c r="AT20" s="295" t="str">
        <f>hourlyJava!M21</f>
        <v xml:space="preserve">
FORD-0001180603 a AUDI-0001172403</v>
      </c>
      <c r="AU20" s="297" t="str">
        <f>hourlyJava!N21</f>
        <v xml:space="preserve">
</v>
      </c>
      <c r="AV20" s="510" t="str">
        <f>hourlyJava!O21</f>
        <v xml:space="preserve">
</v>
      </c>
      <c r="AW20" s="510"/>
      <c r="AX20" s="221">
        <f>IF(H20=0, 0, H7/D20*100)</f>
        <v>101.5277777777778</v>
      </c>
      <c r="AY20" s="222">
        <f>AX20</f>
        <v>101.5277777777778</v>
      </c>
      <c r="BA20" s="289" t="e">
        <f>IF(H20&gt;0,SUM(#REF!+I20)/(#REF!+D20))*100</f>
        <v>#REF!</v>
      </c>
      <c r="BB20" s="290">
        <f>D20*$AX$3</f>
        <v>158.8235294117647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ref="D21:D32" si="7">SUM($C21*60)/$AT$2</f>
        <v>211.76470588235293</v>
      </c>
      <c r="E21" s="225">
        <f t="shared" ref="E21:E31" si="8">E20+D21</f>
        <v>423.52941176470586</v>
      </c>
      <c r="F21" s="223">
        <f>IF(SUM(AL21:AQ21)=0,$D21,SUM(D21-AL21-AM21)-(AN21*60/AT2)-(AO21*60/AT2)-(AP21*60/AT2)-(AQ21*60/AT2))</f>
        <v>211.76470588235293</v>
      </c>
      <c r="G21" s="300">
        <f>IF(F21=0,0,G20+F21)</f>
        <v>370.58823529411762</v>
      </c>
      <c r="H21" s="305">
        <f>VALUE(hourlyJava!E22)</f>
        <v>100</v>
      </c>
      <c r="I21" s="304">
        <f t="shared" si="5"/>
        <v>2258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0001172403/15</v>
      </c>
      <c r="AL21" s="247">
        <f>VALUE(hourlyJava!G22)</f>
        <v>0</v>
      </c>
      <c r="AM21" s="278"/>
      <c r="AN21" s="247">
        <f>VALUE(hourlyJava!H22)</f>
        <v>0</v>
      </c>
      <c r="AO21" s="247">
        <f>VALUE(hourlyJava!I22)</f>
        <v>0</v>
      </c>
      <c r="AP21" s="247">
        <f>VALUE(hourlyJava!J22)</f>
        <v>0</v>
      </c>
      <c r="AQ21" s="247">
        <f>VALUE(hourlyJava!K22)</f>
        <v>0</v>
      </c>
      <c r="AR21" s="521" t="str">
        <f>hourlyJava!L22</f>
        <v xml:space="preserve">
</v>
      </c>
      <c r="AS21" s="522"/>
      <c r="AT21" s="295" t="str">
        <f>hourlyJava!M22</f>
        <v xml:space="preserve">
</v>
      </c>
      <c r="AU21" s="297" t="str">
        <f>hourlyJava!N22</f>
        <v xml:space="preserve">
</v>
      </c>
      <c r="AV21" s="510" t="str">
        <f>hourlyJava!O22</f>
        <v xml:space="preserve">
</v>
      </c>
      <c r="AW21" s="510"/>
      <c r="AX21" s="221">
        <f>IF(H21=0, 0, H8/D21*100)</f>
        <v>108.61111111111113</v>
      </c>
      <c r="AY21" s="184">
        <f>I21/SUM(D20:D21)*100</f>
        <v>533.13888888888891</v>
      </c>
      <c r="BA21" s="289" t="e">
        <f>IF(H21&gt;0,SUM(#REF!+I21)/(#REF!+E21))*100</f>
        <v>#REF!</v>
      </c>
      <c r="BB21" s="290">
        <f t="shared" ref="BB21:BB32" si="9">D21*$AX$3</f>
        <v>158.8235294117647</v>
      </c>
      <c r="BC21" s="279"/>
    </row>
    <row r="22" spans="2:57" ht="18" customHeight="1" thickBot="1">
      <c r="B22" s="283" t="s">
        <v>34</v>
      </c>
      <c r="C22" s="246">
        <v>30</v>
      </c>
      <c r="D22" s="226">
        <f t="shared" si="7"/>
        <v>105.88235294117646</v>
      </c>
      <c r="E22" s="225">
        <f t="shared" si="8"/>
        <v>529.41176470588232</v>
      </c>
      <c r="F22" s="223">
        <f>IF(SUM(AL22:AQ22)=0,$D22,SUM(D22-AL22-AM22)-(AN22*60/AT2)-(AO22*60/AT2)-(AP22*60/AT2)-(AQ22*60/AT2))</f>
        <v>105.88235294117646</v>
      </c>
      <c r="G22" s="300">
        <f t="shared" ref="G22:G31" si="10">IF(F22=0,0,G21+F22)</f>
        <v>476.47058823529409</v>
      </c>
      <c r="H22" s="305">
        <f>VALUE(hourlyJava!E23)</f>
        <v>220</v>
      </c>
      <c r="I22" s="304">
        <f t="shared" si="5"/>
        <v>2478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0001172403/15</v>
      </c>
      <c r="AL22" s="247">
        <f>VALUE(hourlyJava!G23)</f>
        <v>0</v>
      </c>
      <c r="AM22" s="278"/>
      <c r="AN22" s="247">
        <f>VALUE(hourlyJava!H23)</f>
        <v>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521" t="str">
        <f>hourlyJava!L23</f>
        <v xml:space="preserve">
</v>
      </c>
      <c r="AS22" s="522"/>
      <c r="AT22" s="295" t="str">
        <f>hourlyJava!M23</f>
        <v xml:space="preserve">
</v>
      </c>
      <c r="AU22" s="297" t="str">
        <f>hourlyJava!N23</f>
        <v xml:space="preserve">
</v>
      </c>
      <c r="AV22" s="510" t="str">
        <f>hourlyJava!O23</f>
        <v xml:space="preserve">
</v>
      </c>
      <c r="AW22" s="510"/>
      <c r="AX22" s="221">
        <f>IF(H22=0, 0, H9/D22*100)</f>
        <v>105.7777777777778</v>
      </c>
      <c r="AY22" s="184">
        <f>I22/SUM(D20:D22)*100</f>
        <v>468.06666666666672</v>
      </c>
      <c r="BA22" s="289" t="e">
        <f>IF(H22&gt;0,SUM(#REF!+I22)/(#REF!+E22))*100</f>
        <v>#REF!</v>
      </c>
      <c r="BB22" s="290">
        <f t="shared" si="9"/>
        <v>79.411764705882348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741.17647058823525</v>
      </c>
      <c r="F23" s="223">
        <f>IF(SUM(AL23:AQ23)=0,$D23,SUM(D23-AL23-AM23)-(AN23*60/AT2)-(AO23*60/AT2)-(AP23*60/AT2)-(AQ23*60/AT2))</f>
        <v>211.76470588235293</v>
      </c>
      <c r="G23" s="300">
        <f t="shared" si="10"/>
        <v>688.23529411764707</v>
      </c>
      <c r="H23" s="305">
        <f>VALUE(hourlyJava!E24)</f>
        <v>85</v>
      </c>
      <c r="I23" s="304">
        <f t="shared" si="5"/>
        <v>2563</v>
      </c>
      <c r="J23" s="411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411"/>
      <c r="AE23" s="37"/>
      <c r="AF23" s="38"/>
      <c r="AG23" s="37"/>
      <c r="AH23" s="38"/>
      <c r="AI23" s="37"/>
      <c r="AJ23" s="22"/>
      <c r="AK23" s="294" t="str">
        <f>hourlyJava!F24</f>
        <v>0001172403/15</v>
      </c>
      <c r="AL23" s="247">
        <f>VALUE(hourlyJava!G24)</f>
        <v>0</v>
      </c>
      <c r="AM23" s="278"/>
      <c r="AN23" s="247">
        <f>VALUE(hourlyJava!H24)</f>
        <v>0</v>
      </c>
      <c r="AO23" s="247">
        <f>VALUE(hourlyJava!I24)</f>
        <v>0</v>
      </c>
      <c r="AP23" s="247">
        <f>VALUE(hourlyJava!J24)</f>
        <v>0</v>
      </c>
      <c r="AQ23" s="247">
        <f>VALUE(hourlyJava!K24)</f>
        <v>0</v>
      </c>
      <c r="AR23" s="521" t="str">
        <f>hourlyJava!L24</f>
        <v xml:space="preserve">
</v>
      </c>
      <c r="AS23" s="522"/>
      <c r="AT23" s="295" t="str">
        <f>hourlyJava!M24</f>
        <v xml:space="preserve">
</v>
      </c>
      <c r="AU23" s="297" t="str">
        <f>hourlyJava!N24</f>
        <v xml:space="preserve">
</v>
      </c>
      <c r="AV23" s="510" t="str">
        <f>hourlyJava!O24</f>
        <v xml:space="preserve">
</v>
      </c>
      <c r="AW23" s="510"/>
      <c r="AX23" s="221">
        <f>IF(H23=0, 0, H10/D23*100)</f>
        <v>94.444444444444457</v>
      </c>
      <c r="AY23" s="184">
        <f>I23/SUM(D20:D23)*100</f>
        <v>345.80158730158735</v>
      </c>
      <c r="BA23" s="289" t="e">
        <f>IF(H23&gt;0,SUM(#REF!+I23)/(#REF!+E23))*100</f>
        <v>#REF!</v>
      </c>
      <c r="BB23" s="290">
        <f t="shared" si="9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952.94117647058818</v>
      </c>
      <c r="F24" s="223">
        <f>IF(SUM(AL24:AQ24)=0,$D24,SUM(D24-AL24-AM24)-(AN24*60/AT2)-(AO24*60/AT2)-(AP24*60/AT2)-(AQ24*60/AT2))</f>
        <v>105.88235294117646</v>
      </c>
      <c r="G24" s="300">
        <f t="shared" si="10"/>
        <v>794.11764705882354</v>
      </c>
      <c r="H24" s="305">
        <f>VALUE(hourlyJava!E25)</f>
        <v>100</v>
      </c>
      <c r="I24" s="304">
        <f t="shared" si="5"/>
        <v>2663</v>
      </c>
      <c r="J24" s="411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11"/>
      <c r="AE24" s="37"/>
      <c r="AF24" s="38"/>
      <c r="AG24" s="37"/>
      <c r="AH24" s="38"/>
      <c r="AI24" s="37"/>
      <c r="AJ24" s="22"/>
      <c r="AK24" s="294" t="str">
        <f>hourlyJava!F25</f>
        <v>0001172403/15</v>
      </c>
      <c r="AL24" s="247">
        <f>VALUE(hourlyJava!G25)</f>
        <v>0</v>
      </c>
      <c r="AM24" s="278"/>
      <c r="AN24" s="247">
        <f>VALUE(hourlyJava!H25)</f>
        <v>30</v>
      </c>
      <c r="AO24" s="247">
        <f>VALUE(hourlyJava!I25)</f>
        <v>0</v>
      </c>
      <c r="AP24" s="247">
        <f>VALUE(hourlyJava!J25)</f>
        <v>0</v>
      </c>
      <c r="AQ24" s="247">
        <f>VALUE(hourlyJava!K25)</f>
        <v>0</v>
      </c>
      <c r="AR24" s="521" t="str">
        <f>hourlyJava!L25</f>
        <v xml:space="preserve">
L003</v>
      </c>
      <c r="AS24" s="522"/>
      <c r="AT24" s="295" t="str">
        <f>hourlyJava!M25</f>
        <v xml:space="preserve">
AUDI-0001172403 a VW-0001179517</v>
      </c>
      <c r="AU24" s="297" t="str">
        <f>hourlyJava!N25</f>
        <v xml:space="preserve">
</v>
      </c>
      <c r="AV24" s="510" t="str">
        <f>hourlyJava!O25</f>
        <v xml:space="preserve">
</v>
      </c>
      <c r="AW24" s="510"/>
      <c r="AX24" s="221">
        <f>IF(H24=0, 0, H11/D24*100)</f>
        <v>101.5277777777778</v>
      </c>
      <c r="AY24" s="184">
        <f>I24/SUM(D20:D24)*100</f>
        <v>279.45061728395063</v>
      </c>
      <c r="BA24" s="289" t="e">
        <f>IF(H24&gt;0,SUM(#REF!+I24)/(#REF!+E24))*100</f>
        <v>#REF!</v>
      </c>
      <c r="BB24" s="290">
        <f t="shared" si="9"/>
        <v>158.8235294117647</v>
      </c>
      <c r="BC24" s="279"/>
    </row>
    <row r="25" spans="2:57" ht="18" customHeight="1" thickBot="1">
      <c r="B25" s="474" t="s">
        <v>36</v>
      </c>
      <c r="C25" s="475"/>
      <c r="D25" s="233" t="s">
        <v>26</v>
      </c>
      <c r="E25" s="377">
        <f>SUM(D17:D24)</f>
        <v>1552.9411764705883</v>
      </c>
      <c r="F25" s="469">
        <f>SUM(G17:G24)</f>
        <v>7437.5294117647045</v>
      </c>
      <c r="G25" s="470"/>
      <c r="H25" s="527">
        <f>SUM(H17:H24)</f>
        <v>1131</v>
      </c>
      <c r="I25" s="528"/>
      <c r="J25" s="466"/>
      <c r="K25" s="467"/>
      <c r="L25" s="467"/>
      <c r="M25" s="467"/>
      <c r="N25" s="467"/>
      <c r="O25" s="467"/>
      <c r="P25" s="467"/>
      <c r="Q25" s="467"/>
      <c r="R25" s="467"/>
      <c r="S25" s="467"/>
      <c r="T25" s="467"/>
      <c r="U25" s="467"/>
      <c r="V25" s="467"/>
      <c r="W25" s="467"/>
      <c r="X25" s="467"/>
      <c r="Y25" s="467"/>
      <c r="Z25" s="467"/>
      <c r="AA25" s="467"/>
      <c r="AB25" s="467"/>
      <c r="AC25" s="467"/>
      <c r="AD25" s="467"/>
      <c r="AE25" s="467"/>
      <c r="AF25" s="467"/>
      <c r="AG25" s="467"/>
      <c r="AH25" s="467"/>
      <c r="AI25" s="467"/>
      <c r="AJ25" s="468"/>
      <c r="AK25" s="206"/>
      <c r="AL25" s="381">
        <f t="shared" ref="AL25:AQ25" si="11">SUM(AL17:AL24)</f>
        <v>0</v>
      </c>
      <c r="AM25" s="387">
        <f t="shared" si="11"/>
        <v>0</v>
      </c>
      <c r="AN25" s="207">
        <f t="shared" si="11"/>
        <v>60</v>
      </c>
      <c r="AO25" s="208">
        <f t="shared" si="11"/>
        <v>48</v>
      </c>
      <c r="AP25" s="209">
        <f t="shared" si="11"/>
        <v>0</v>
      </c>
      <c r="AQ25" s="209">
        <f t="shared" si="11"/>
        <v>0</v>
      </c>
      <c r="AR25" s="210"/>
      <c r="AS25" s="211"/>
      <c r="AT25" s="212"/>
      <c r="AU25" s="213"/>
      <c r="AV25" s="511"/>
      <c r="AW25" s="511"/>
      <c r="AX25" s="207" t="s">
        <v>36</v>
      </c>
      <c r="AY25" s="260">
        <f>IF(AY24&lt;&gt;0,AY24,IF(AY23&lt;&gt;0,AY23,IF(AY22&lt;&gt;0,AY22,IF(AY21&lt;&gt;0,AY21,IF(AY20&lt;&gt;0,AY20,IF(AY19&lt;&gt;0,AY19,IF(AY18&lt;&gt;0,AY18,IF(AY16&lt;&gt;0,AY16,IF(AY15&lt;&gt;0,AY15,IF(AY14&lt;&gt;0,AY14,IF(AY13&lt;&gt;0,AY13,IF(AY12=0,AX12,IF(AY12&lt;&gt;0,AY12)))))))))))))/100</f>
        <v>2.7945061728395064</v>
      </c>
      <c r="BA25" s="289"/>
      <c r="BC25" s="279"/>
    </row>
    <row r="26" spans="2:57" ht="18" customHeight="1" thickBot="1">
      <c r="B26" s="175" t="s">
        <v>38</v>
      </c>
      <c r="C26" s="242">
        <v>50</v>
      </c>
      <c r="D26" s="226">
        <f t="shared" si="7"/>
        <v>176.47058823529412</v>
      </c>
      <c r="E26" s="225">
        <f>E24+D26</f>
        <v>1129.4117647058822</v>
      </c>
      <c r="F26" s="223">
        <f>IF(SUM(AL26:AQ26)=0,$D26,SUM(D26-AL26-AM26)-(AN26*60/AT2)-(AO26*60/AT2)-(AP26*60/AT2)-(AQ26*60/AT2))</f>
        <v>176.47058823529412</v>
      </c>
      <c r="G26" s="300">
        <f>IF(F26=0,0,G24+F26)</f>
        <v>970.58823529411768</v>
      </c>
      <c r="H26" s="305">
        <f>VALUE(hourlyJava!E26)</f>
        <v>155</v>
      </c>
      <c r="I26" s="306">
        <f>IF(H24=0,0,H26+I24)</f>
        <v>2818</v>
      </c>
      <c r="J26" s="411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11"/>
      <c r="AE26" s="37"/>
      <c r="AF26" s="38"/>
      <c r="AG26" s="37"/>
      <c r="AH26" s="38"/>
      <c r="AI26" s="37"/>
      <c r="AJ26" s="22"/>
      <c r="AK26" s="294" t="str">
        <f>hourlyJava!F26</f>
        <v>0001179517/15</v>
      </c>
      <c r="AL26" s="247">
        <f>VALUE(hourlyJava!G26)</f>
        <v>0</v>
      </c>
      <c r="AM26" s="278"/>
      <c r="AN26" s="247">
        <f>VALUE(hourlyJava!H26)</f>
        <v>0</v>
      </c>
      <c r="AO26" s="247">
        <f>VALUE(hourlyJava!I26)</f>
        <v>0</v>
      </c>
      <c r="AP26" s="247">
        <f>VALUE(hourlyJava!J26)</f>
        <v>0</v>
      </c>
      <c r="AQ26" s="247">
        <f>VALUE(hourlyJava!K26)</f>
        <v>0</v>
      </c>
      <c r="AR26" s="521" t="str">
        <f>hourlyJava!L26</f>
        <v xml:space="preserve">
</v>
      </c>
      <c r="AS26" s="522"/>
      <c r="AT26" s="295" t="str">
        <f>hourlyJava!M26</f>
        <v xml:space="preserve">
</v>
      </c>
      <c r="AU26" s="297" t="str">
        <f>hourlyJava!N26</f>
        <v xml:space="preserve">
</v>
      </c>
      <c r="AV26" s="510" t="str">
        <f>hourlyJava!O26</f>
        <v xml:space="preserve">
</v>
      </c>
      <c r="AW26" s="510"/>
      <c r="AX26" s="221">
        <f>IF(H26=0, 0, H12/D26*100)</f>
        <v>37.4</v>
      </c>
      <c r="AY26" s="184">
        <f>I26/SUM(D20:D26)*100</f>
        <v>249.51041666666671</v>
      </c>
      <c r="BA26" s="289" t="e">
        <f>IF(H26&gt;0,SUM(#REF!+I26)/(#REF!+E26))*100</f>
        <v>#REF!</v>
      </c>
      <c r="BB26" s="290">
        <f t="shared" si="9"/>
        <v>132.35294117647058</v>
      </c>
      <c r="BC26" s="279"/>
    </row>
    <row r="27" spans="2:57" ht="18" customHeight="1" thickBot="1">
      <c r="B27" s="284" t="s">
        <v>76</v>
      </c>
      <c r="C27" s="242">
        <v>60</v>
      </c>
      <c r="D27" s="226">
        <f t="shared" si="7"/>
        <v>211.76470588235293</v>
      </c>
      <c r="E27" s="225">
        <f t="shared" si="8"/>
        <v>1341.1764705882351</v>
      </c>
      <c r="F27" s="223">
        <f>IF(SUM(AL27:AQ27)=0,$D27,SUM(D27-AL27-AM27)-(AN27*60/AT2)-(AO27*60/AT2)-(AP27*60/AT2)-(AQ27*60/AT2))</f>
        <v>211.76470588235293</v>
      </c>
      <c r="G27" s="300">
        <f t="shared" si="10"/>
        <v>1182.3529411764707</v>
      </c>
      <c r="H27" s="306">
        <f>VALUE(hourlyJava!E3)</f>
        <v>225</v>
      </c>
      <c r="I27" s="306">
        <f t="shared" ref="I27:I31" si="12">IF(H27=0,0,I26+H27)</f>
        <v>3043</v>
      </c>
      <c r="J27" s="411"/>
      <c r="K27" s="37"/>
      <c r="L27" s="38"/>
      <c r="M27" s="37"/>
      <c r="N27" s="38"/>
      <c r="O27" s="37"/>
      <c r="P27" s="38"/>
      <c r="Q27" s="37"/>
      <c r="R27" s="38"/>
      <c r="S27" s="37"/>
      <c r="T27" s="145"/>
      <c r="U27" s="42"/>
      <c r="V27" s="43"/>
      <c r="W27" s="42"/>
      <c r="X27" s="43"/>
      <c r="Y27" s="42"/>
      <c r="Z27" s="43"/>
      <c r="AA27" s="42"/>
      <c r="AB27" s="43"/>
      <c r="AC27" s="42"/>
      <c r="AD27" s="38"/>
      <c r="AE27" s="37"/>
      <c r="AF27" s="38"/>
      <c r="AG27" s="37"/>
      <c r="AH27" s="38"/>
      <c r="AI27" s="37"/>
      <c r="AJ27" s="22"/>
      <c r="AK27" s="294" t="str">
        <f>hourlyJava!F3</f>
        <v>0001179517/15</v>
      </c>
      <c r="AL27" s="247">
        <f>VALUE(hourlyJava!G3)</f>
        <v>0</v>
      </c>
      <c r="AM27" s="278"/>
      <c r="AN27" s="247">
        <f>VALUE(hourlyJava!H3)</f>
        <v>0</v>
      </c>
      <c r="AO27" s="247">
        <f>VALUE(hourlyJava!I3)</f>
        <v>0</v>
      </c>
      <c r="AP27" s="247">
        <f>VALUE(hourlyJava!J3)</f>
        <v>0</v>
      </c>
      <c r="AQ27" s="247">
        <f>VALUE(hourlyJava!K3)</f>
        <v>0</v>
      </c>
      <c r="AR27" s="521" t="str">
        <f>hourlyJava!L3</f>
        <v xml:space="preserve">
</v>
      </c>
      <c r="AS27" s="522"/>
      <c r="AT27" s="295" t="str">
        <f>hourlyJava!M3</f>
        <v xml:space="preserve">
</v>
      </c>
      <c r="AU27" s="297" t="str">
        <f>hourlyJava!N3</f>
        <v xml:space="preserve">
</v>
      </c>
      <c r="AV27" s="510" t="str">
        <f>hourlyJava!O3</f>
        <v xml:space="preserve">
</v>
      </c>
      <c r="AW27" s="510"/>
      <c r="AX27" s="221">
        <f>IF(H27=0, 0, H13/D27*100)</f>
        <v>56.666666666666664</v>
      </c>
      <c r="AY27" s="184">
        <f>I27/SUM(D20:D27)*100</f>
        <v>226.89035087719301</v>
      </c>
      <c r="BA27" s="289" t="e">
        <f>IF(H27&gt;0,SUM(#REF!+I27)/(#REF!+E27))*100</f>
        <v>#REF!</v>
      </c>
      <c r="BB27" s="290">
        <f t="shared" si="9"/>
        <v>158.8235294117647</v>
      </c>
      <c r="BC27" s="279"/>
    </row>
    <row r="28" spans="2:57" ht="18" customHeight="1" thickBot="1">
      <c r="B28" s="285" t="s">
        <v>77</v>
      </c>
      <c r="C28" s="243">
        <v>60</v>
      </c>
      <c r="D28" s="226">
        <f t="shared" si="7"/>
        <v>211.76470588235293</v>
      </c>
      <c r="E28" s="225">
        <f t="shared" si="8"/>
        <v>1552.9411764705881</v>
      </c>
      <c r="F28" s="223">
        <f>IF(SUM(AL28:AQ28)=0,$D28,SUM(D28-AL28-AM28)-(AN28*60/AT2)-(AO28*60/AT2)-(AP28*60/AT2)-(AQ28*60/AT2))</f>
        <v>211.76470588235293</v>
      </c>
      <c r="G28" s="300">
        <f t="shared" si="10"/>
        <v>1394.1176470588236</v>
      </c>
      <c r="H28" s="306">
        <f>VALUE(hourlyJava!E4)</f>
        <v>220</v>
      </c>
      <c r="I28" s="306">
        <f t="shared" si="12"/>
        <v>3263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hourlyJava!F4</f>
        <v>0001179517/15</v>
      </c>
      <c r="AL28" s="247">
        <f>VALUE(hourlyJava!G4)</f>
        <v>0</v>
      </c>
      <c r="AM28" s="278"/>
      <c r="AN28" s="247">
        <f>VALUE(hourlyJava!H4)</f>
        <v>0</v>
      </c>
      <c r="AO28" s="247">
        <f>VALUE(hourlyJava!I4)</f>
        <v>0</v>
      </c>
      <c r="AP28" s="247">
        <f>VALUE(hourlyJava!J4)</f>
        <v>0</v>
      </c>
      <c r="AQ28" s="247">
        <f>VALUE(hourlyJava!K4)</f>
        <v>0</v>
      </c>
      <c r="AR28" s="521" t="str">
        <f>hourlyJava!L4</f>
        <v xml:space="preserve">
</v>
      </c>
      <c r="AS28" s="522"/>
      <c r="AT28" s="295" t="str">
        <f>hourlyJava!M4</f>
        <v xml:space="preserve">
</v>
      </c>
      <c r="AU28" s="297" t="str">
        <f>hourlyJava!N4</f>
        <v xml:space="preserve">
</v>
      </c>
      <c r="AV28" s="510" t="str">
        <f>hourlyJava!O4</f>
        <v xml:space="preserve">
</v>
      </c>
      <c r="AW28" s="510"/>
      <c r="AX28" s="221">
        <f>IF(H28=0, 0, H14/D28*100)</f>
        <v>101.5277777777778</v>
      </c>
      <c r="AY28" s="184">
        <f>I28/SUM(D20:D28)*100</f>
        <v>210.11742424242428</v>
      </c>
      <c r="BA28" s="289" t="e">
        <f>IF(H28&gt;0,SUM(#REF!+I28)/(#REF!+E28))*100</f>
        <v>#REF!</v>
      </c>
      <c r="BB28" s="290">
        <f t="shared" si="9"/>
        <v>158.8235294117647</v>
      </c>
      <c r="BC28" s="279"/>
    </row>
    <row r="29" spans="2:57" ht="18" customHeight="1" thickBot="1">
      <c r="B29" s="285" t="s">
        <v>78</v>
      </c>
      <c r="C29" s="243">
        <v>60</v>
      </c>
      <c r="D29" s="226">
        <f t="shared" si="7"/>
        <v>211.76470588235293</v>
      </c>
      <c r="E29" s="225">
        <f t="shared" si="8"/>
        <v>1764.705882352941</v>
      </c>
      <c r="F29" s="223">
        <f>IF(SUM(AL29:AQ29)=0,$D29,SUM(D29-AL29-AM29)-(AN29*60/AT2)-(AO29*60/AT2)-(AP29*60/AT2)-(AQ29*60/AT2))</f>
        <v>105.88235294117646</v>
      </c>
      <c r="G29" s="300">
        <f t="shared" si="10"/>
        <v>1500</v>
      </c>
      <c r="H29" s="306">
        <f>VALUE(hourlyJava!E5)</f>
        <v>120</v>
      </c>
      <c r="I29" s="306">
        <f t="shared" si="12"/>
        <v>3383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hourlyJava!F5</f>
        <v>0001179515/15</v>
      </c>
      <c r="AL29" s="247">
        <f>VALUE(hourlyJava!G5)</f>
        <v>0</v>
      </c>
      <c r="AM29" s="278"/>
      <c r="AN29" s="247">
        <f>VALUE(hourlyJava!H5)</f>
        <v>30</v>
      </c>
      <c r="AO29" s="247">
        <f>VALUE(hourlyJava!I5)</f>
        <v>0</v>
      </c>
      <c r="AP29" s="247">
        <f>VALUE(hourlyJava!J5)</f>
        <v>0</v>
      </c>
      <c r="AQ29" s="247">
        <f>VALUE(hourlyJava!K5)</f>
        <v>0</v>
      </c>
      <c r="AR29" s="521" t="str">
        <f>hourlyJava!L5</f>
        <v xml:space="preserve">
L003</v>
      </c>
      <c r="AS29" s="522"/>
      <c r="AT29" s="295" t="str">
        <f>hourlyJava!M5</f>
        <v xml:space="preserve">
VW-0001179517 a VW-0001179515</v>
      </c>
      <c r="AU29" s="297" t="str">
        <f>hourlyJava!N5</f>
        <v xml:space="preserve">
</v>
      </c>
      <c r="AV29" s="510" t="str">
        <f>hourlyJava!O5</f>
        <v xml:space="preserve">
</v>
      </c>
      <c r="AW29" s="510"/>
      <c r="AX29" s="221">
        <f>IF(H29=0, 0, H15/D29*100)</f>
        <v>75.083333333333329</v>
      </c>
      <c r="AY29" s="184">
        <f>I29/SUM(D20:D29)*100</f>
        <v>191.70333333333335</v>
      </c>
      <c r="BA29" s="289" t="e">
        <f>IF(H29&gt;0,SUM(#REF!+I29)/(#REF!+E29))*100</f>
        <v>#REF!</v>
      </c>
      <c r="BB29" s="290">
        <f t="shared" si="9"/>
        <v>158.8235294117647</v>
      </c>
      <c r="BC29" s="279"/>
    </row>
    <row r="30" spans="2:57" ht="18" customHeight="1" thickBot="1">
      <c r="B30" s="285" t="s">
        <v>79</v>
      </c>
      <c r="C30" s="243">
        <v>60</v>
      </c>
      <c r="D30" s="226">
        <f t="shared" si="7"/>
        <v>211.76470588235293</v>
      </c>
      <c r="E30" s="225">
        <f t="shared" si="8"/>
        <v>1976.4705882352939</v>
      </c>
      <c r="F30" s="223">
        <f>IF(SUM(AL30:AQ30)=0,$D30,SUM(D30-AL30-AM30)-(AN30*60/AT2)-(AO30*60/AT2)-(AP30*60/AT2)-(AQ30*60/AT2))</f>
        <v>105.88235294117646</v>
      </c>
      <c r="G30" s="300">
        <f t="shared" si="10"/>
        <v>1605.8823529411766</v>
      </c>
      <c r="H30" s="306">
        <f>VALUE(hourlyJava!E6)</f>
        <v>80</v>
      </c>
      <c r="I30" s="306">
        <f t="shared" si="12"/>
        <v>3463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hourlyJava!F6</f>
        <v>0001179519/15</v>
      </c>
      <c r="AL30" s="247">
        <f>VALUE(hourlyJava!G6)</f>
        <v>0</v>
      </c>
      <c r="AM30" s="278"/>
      <c r="AN30" s="247">
        <f>VALUE(hourlyJava!H6)</f>
        <v>30</v>
      </c>
      <c r="AO30" s="247">
        <f>VALUE(hourlyJava!I6)</f>
        <v>0</v>
      </c>
      <c r="AP30" s="247">
        <f>VALUE(hourlyJava!J6)</f>
        <v>0</v>
      </c>
      <c r="AQ30" s="247">
        <f>VALUE(hourlyJava!K6)</f>
        <v>0</v>
      </c>
      <c r="AR30" s="521" t="str">
        <f>hourlyJava!L6</f>
        <v xml:space="preserve">
L003</v>
      </c>
      <c r="AS30" s="522"/>
      <c r="AT30" s="295" t="str">
        <f>hourlyJava!M6</f>
        <v xml:space="preserve">
VW-0001179515 a VW-0001179519</v>
      </c>
      <c r="AU30" s="297" t="str">
        <f>hourlyJava!N6</f>
        <v xml:space="preserve">
</v>
      </c>
      <c r="AV30" s="510" t="str">
        <f>hourlyJava!O6</f>
        <v xml:space="preserve">
</v>
      </c>
      <c r="AW30" s="510"/>
      <c r="AX30" s="221">
        <f>IF(H30=0, 0, H17/D30*100)</f>
        <v>103.8888888888889</v>
      </c>
      <c r="AY30" s="184">
        <f>I30/SUM(D20:D30)*100</f>
        <v>175.21130952380955</v>
      </c>
      <c r="BA30" s="289" t="e">
        <f>IF(H30&gt;0,SUM(#REF!+I30)/(#REF!+E30))*100</f>
        <v>#REF!</v>
      </c>
      <c r="BB30" s="290">
        <f t="shared" si="9"/>
        <v>158.8235294117647</v>
      </c>
      <c r="BC30" s="279"/>
    </row>
    <row r="31" spans="2:57" ht="18" customHeight="1" thickBot="1">
      <c r="B31" s="285" t="s">
        <v>80</v>
      </c>
      <c r="C31" s="243">
        <v>60</v>
      </c>
      <c r="D31" s="226">
        <f t="shared" si="7"/>
        <v>211.76470588235293</v>
      </c>
      <c r="E31" s="225">
        <f t="shared" si="8"/>
        <v>2188.2352941176468</v>
      </c>
      <c r="F31" s="223">
        <f>IF(SUM(AL31:AQ31)=0,$D31,SUM(D31-AL31-AM31)-(AN31*60/AT2)-(AO31*60/AT2)-(AP31*60/AT2)-(AQ31*60/AT2))</f>
        <v>211.76470588235293</v>
      </c>
      <c r="G31" s="300">
        <f t="shared" si="10"/>
        <v>1817.6470588235295</v>
      </c>
      <c r="H31" s="306">
        <f>VALUE(hourlyJava!E7)</f>
        <v>240</v>
      </c>
      <c r="I31" s="306">
        <f t="shared" si="12"/>
        <v>3703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4" t="str">
        <f>hourlyJava!F7</f>
        <v>0001179519/15</v>
      </c>
      <c r="AL31" s="247">
        <f>VALUE(hourlyJava!G7)</f>
        <v>0</v>
      </c>
      <c r="AM31" s="278"/>
      <c r="AN31" s="247">
        <f>VALUE(hourlyJava!H7)</f>
        <v>0</v>
      </c>
      <c r="AO31" s="247">
        <f>VALUE(hourlyJava!I7)</f>
        <v>0</v>
      </c>
      <c r="AP31" s="247">
        <f>VALUE(hourlyJava!J7)</f>
        <v>0</v>
      </c>
      <c r="AQ31" s="247">
        <f>VALUE(hourlyJava!K7)</f>
        <v>0</v>
      </c>
      <c r="AR31" s="521" t="str">
        <f>hourlyJava!L7</f>
        <v xml:space="preserve">
</v>
      </c>
      <c r="AS31" s="522"/>
      <c r="AT31" s="295" t="str">
        <f>hourlyJava!M7</f>
        <v xml:space="preserve">
</v>
      </c>
      <c r="AU31" s="297" t="str">
        <f>hourlyJava!N7</f>
        <v xml:space="preserve">
</v>
      </c>
      <c r="AV31" s="510" t="str">
        <f>hourlyJava!O7</f>
        <v xml:space="preserve">
</v>
      </c>
      <c r="AW31" s="510"/>
      <c r="AX31" s="221">
        <f>IF(H31=0, 0, H18/D31*100)</f>
        <v>22.666666666666668</v>
      </c>
      <c r="AY31" s="184">
        <f>I31/SUM(D20:D31)*100</f>
        <v>169.22311827956992</v>
      </c>
      <c r="BA31" s="289" t="e">
        <f>IF(H31&gt;0,SUM(#REF!+I31)/(#REF!+E31))*100</f>
        <v>#REF!</v>
      </c>
      <c r="BB31" s="290">
        <f t="shared" si="9"/>
        <v>158.8235294117647</v>
      </c>
      <c r="BC31" s="279"/>
    </row>
    <row r="32" spans="2:57" ht="18" customHeight="1" thickBot="1">
      <c r="B32" s="285" t="s">
        <v>81</v>
      </c>
      <c r="C32" s="243">
        <v>60</v>
      </c>
      <c r="D32" s="226">
        <f t="shared" si="7"/>
        <v>211.76470588235293</v>
      </c>
      <c r="E32" s="225">
        <f>E31+D32</f>
        <v>2400</v>
      </c>
      <c r="F32" s="223">
        <f>IF(SUM(AL32:AQ32)=0,$D32,SUM(D32-AL32-AM32)-(AN32*60/AT2)-(AO32*60/AT2)-(AP32*60/AT2)-(AQ32*60/AT2))</f>
        <v>158.8235294117647</v>
      </c>
      <c r="G32" s="300">
        <f>IF(F32=0,0,G31+F32)</f>
        <v>1976.4705882352941</v>
      </c>
      <c r="H32" s="306">
        <f>VALUE(hourlyJava!E8)</f>
        <v>160</v>
      </c>
      <c r="I32" s="306">
        <f>IF(H32=0,0,I31+H32)</f>
        <v>3863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4"/>
      <c r="U32" s="215"/>
      <c r="V32" s="216"/>
      <c r="W32" s="215"/>
      <c r="X32" s="216"/>
      <c r="Y32" s="215"/>
      <c r="Z32" s="216"/>
      <c r="AA32" s="215"/>
      <c r="AB32" s="216"/>
      <c r="AC32" s="214"/>
      <c r="AD32" s="237"/>
      <c r="AE32" s="214"/>
      <c r="AF32" s="144"/>
      <c r="AG32" s="214"/>
      <c r="AH32" s="144"/>
      <c r="AI32" s="214"/>
      <c r="AJ32" s="186"/>
      <c r="AK32" s="294" t="str">
        <f>hourlyJava!F8</f>
        <v>0001179519/15</v>
      </c>
      <c r="AL32" s="247">
        <f>VALUE(hourlyJava!G8)</f>
        <v>0</v>
      </c>
      <c r="AM32" s="278"/>
      <c r="AN32" s="247">
        <f>VALUE(hourlyJava!H8)</f>
        <v>15</v>
      </c>
      <c r="AO32" s="247">
        <f>VALUE(hourlyJava!I8)</f>
        <v>0</v>
      </c>
      <c r="AP32" s="247">
        <f>VALUE(hourlyJava!J8)</f>
        <v>0</v>
      </c>
      <c r="AQ32" s="247">
        <f>VALUE(hourlyJava!K8)</f>
        <v>0</v>
      </c>
      <c r="AR32" s="521" t="str">
        <f>hourlyJava!L8</f>
        <v xml:space="preserve">
L003</v>
      </c>
      <c r="AS32" s="522"/>
      <c r="AT32" s="295" t="str">
        <f>hourlyJava!M8</f>
        <v xml:space="preserve">
VW-0001179519 a VW-0001179009</v>
      </c>
      <c r="AU32" s="297" t="str">
        <f>hourlyJava!N8</f>
        <v xml:space="preserve">
</v>
      </c>
      <c r="AV32" s="510" t="str">
        <f>hourlyJava!O8</f>
        <v xml:space="preserve">
</v>
      </c>
      <c r="AW32" s="510"/>
      <c r="AX32" s="221">
        <f>IF(H32=0, 0, H19/D32*100)</f>
        <v>84.055555555555557</v>
      </c>
      <c r="AY32" s="184">
        <f>I32/SUM(D20:D32)*100</f>
        <v>160.95833333333334</v>
      </c>
      <c r="BA32" s="289" t="e">
        <f>IF(H32&gt;0,SUM(#REF!+I32)/(#REF!+E32))*100</f>
        <v>#REF!</v>
      </c>
      <c r="BB32" s="290">
        <f t="shared" si="9"/>
        <v>158.8235294117647</v>
      </c>
      <c r="BC32" s="279"/>
    </row>
    <row r="33" spans="1:55" ht="18" customHeight="1" thickBot="1">
      <c r="B33" s="474" t="s">
        <v>45</v>
      </c>
      <c r="C33" s="475"/>
      <c r="D33" s="233" t="s">
        <v>26</v>
      </c>
      <c r="E33" s="377">
        <f>SUM(D26:D32)</f>
        <v>1447.0588235294117</v>
      </c>
      <c r="F33" s="469">
        <f>SUM(G26:G32)</f>
        <v>10447.058823529411</v>
      </c>
      <c r="G33" s="470"/>
      <c r="H33" s="527">
        <f>SUM(H26:H32)</f>
        <v>1200</v>
      </c>
      <c r="I33" s="528"/>
      <c r="J33" s="466"/>
      <c r="K33" s="467"/>
      <c r="L33" s="467"/>
      <c r="M33" s="467"/>
      <c r="N33" s="467"/>
      <c r="O33" s="467"/>
      <c r="P33" s="467"/>
      <c r="Q33" s="467"/>
      <c r="R33" s="467"/>
      <c r="S33" s="467"/>
      <c r="T33" s="467"/>
      <c r="U33" s="467"/>
      <c r="V33" s="467"/>
      <c r="W33" s="467"/>
      <c r="X33" s="467"/>
      <c r="Y33" s="467"/>
      <c r="Z33" s="467"/>
      <c r="AA33" s="467"/>
      <c r="AB33" s="467"/>
      <c r="AC33" s="467"/>
      <c r="AD33" s="467"/>
      <c r="AE33" s="467"/>
      <c r="AF33" s="467"/>
      <c r="AG33" s="467"/>
      <c r="AH33" s="467"/>
      <c r="AI33" s="467"/>
      <c r="AJ33" s="468"/>
      <c r="AK33" s="206"/>
      <c r="AL33" s="381">
        <f t="shared" ref="AL33:AQ33" si="13">SUM(AL26:AL32)</f>
        <v>0</v>
      </c>
      <c r="AM33" s="387">
        <f t="shared" si="13"/>
        <v>0</v>
      </c>
      <c r="AN33" s="207">
        <f t="shared" si="13"/>
        <v>75</v>
      </c>
      <c r="AO33" s="208">
        <f t="shared" si="13"/>
        <v>0</v>
      </c>
      <c r="AP33" s="209">
        <f t="shared" si="13"/>
        <v>0</v>
      </c>
      <c r="AQ33" s="209">
        <f t="shared" si="13"/>
        <v>0</v>
      </c>
      <c r="AR33" s="210"/>
      <c r="AS33" s="211"/>
      <c r="AT33" s="212"/>
      <c r="AU33" s="213"/>
      <c r="AV33" s="511"/>
      <c r="AW33" s="511"/>
      <c r="AX33" s="207" t="s">
        <v>45</v>
      </c>
      <c r="AY33" s="260">
        <f>IF(AY32&lt;&gt;0,AY32,IF(AY31&lt;&gt;0,AY31,IF(AY30&lt;&gt;0,AY30,IF(AY29&lt;&gt;0,AY29,IF(AY28&lt;&gt;0,AY28,IF(AY27&lt;&gt;0,AY27,IF(AY26&lt;&gt;0,AY26,IF(AY24&lt;&gt;0,AY24,IF(AY23&lt;&gt;0,AY23,IF(AY22&lt;&gt;0,AY22,IF(AY21&lt;&gt;0,AY21,IF(AY20=0,AX20,IF(AY20&lt;&gt;0,AY20)))))))))))))/100</f>
        <v>1.6095833333333334</v>
      </c>
      <c r="BA33" s="289"/>
      <c r="BC33" s="279"/>
    </row>
    <row r="34" spans="1:55" ht="18" customHeight="1" thickBot="1">
      <c r="B34" s="463" t="s">
        <v>123</v>
      </c>
      <c r="C34" s="464"/>
      <c r="D34" s="464"/>
      <c r="E34" s="465"/>
      <c r="F34" s="413"/>
      <c r="G34" s="414"/>
      <c r="H34" s="461">
        <f>H35/E35</f>
        <v>0.81075308641975308</v>
      </c>
      <c r="I34" s="462"/>
      <c r="J34" s="417"/>
      <c r="K34" s="418"/>
      <c r="L34" s="418"/>
      <c r="M34" s="418"/>
      <c r="N34" s="418"/>
      <c r="O34" s="418"/>
      <c r="P34" s="418"/>
      <c r="Q34" s="418"/>
      <c r="R34" s="418"/>
      <c r="S34" s="418"/>
      <c r="T34" s="418"/>
      <c r="U34" s="418"/>
      <c r="V34" s="418"/>
      <c r="W34" s="418"/>
      <c r="X34" s="418"/>
      <c r="Y34" s="418"/>
      <c r="Z34" s="418"/>
      <c r="AA34" s="418"/>
      <c r="AB34" s="418"/>
      <c r="AC34" s="418"/>
      <c r="AD34" s="418"/>
      <c r="AE34" s="418"/>
      <c r="AF34" s="418"/>
      <c r="AG34" s="418"/>
      <c r="AH34" s="418"/>
      <c r="AI34" s="418"/>
      <c r="AJ34" s="418"/>
      <c r="AK34" s="378"/>
      <c r="AL34" s="388">
        <f>IF(SUM(AL35:AQ35)=0,0, ((100%-H34)*AL35)/SUM(AL35:AQ35))</f>
        <v>1.3051511281396339E-3</v>
      </c>
      <c r="AM34" s="387"/>
      <c r="AN34" s="389">
        <f>IF(SUM(AL35:AQ35)=0,0, ((100%-H34)*AN35)/SUM(AL35:AQ35) )</f>
        <v>0.12725223499361429</v>
      </c>
      <c r="AO34" s="390">
        <f>IF(SUM(AL35:AQ35)=0,0, ((100%-H34)*AO35)/SUM(AL35:AQ35) )</f>
        <v>6.0689527458492973E-2</v>
      </c>
      <c r="AP34" s="391">
        <f>IF(SUM(AL35:AQ35)=0,0, ((100%-H34)*AP35)/SUM(AL35:AQ35) )</f>
        <v>0</v>
      </c>
      <c r="AQ34" s="391">
        <f>IF(SUM(AL35:AQ35)=0,0, ((100%-H34)*AQ35)/SUM(AL35:AQ35) )</f>
        <v>0</v>
      </c>
      <c r="AR34" s="210"/>
      <c r="AS34" s="379"/>
      <c r="AT34" s="212"/>
      <c r="AU34" s="380"/>
      <c r="AV34" s="412"/>
      <c r="AW34" s="412"/>
      <c r="AX34" s="381"/>
      <c r="AY34" s="382"/>
      <c r="BA34" s="289"/>
      <c r="BC34" s="279"/>
    </row>
    <row r="35" spans="1:55" ht="18" customHeight="1" thickBot="1">
      <c r="B35" s="518" t="s">
        <v>49</v>
      </c>
      <c r="C35" s="519"/>
      <c r="D35" s="520"/>
      <c r="E35" s="419">
        <f>E16+E25+E33</f>
        <v>4764.7058823529414</v>
      </c>
      <c r="F35" s="469">
        <f>SUM(F7:F15,F17:F24, F26:F32)</f>
        <v>3746.2352941176478</v>
      </c>
      <c r="G35" s="470"/>
      <c r="H35" s="469">
        <f>SUM(H7:H15,H17:H24,H26:H32)</f>
        <v>3863</v>
      </c>
      <c r="I35" s="470"/>
      <c r="J35" s="515" t="s">
        <v>49</v>
      </c>
      <c r="K35" s="516"/>
      <c r="L35" s="516"/>
      <c r="M35" s="516"/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7"/>
      <c r="AL35" s="219">
        <f t="shared" ref="AL35:AQ35" si="14">AL16+AL25+AL33</f>
        <v>2</v>
      </c>
      <c r="AM35" s="386">
        <f t="shared" si="14"/>
        <v>0</v>
      </c>
      <c r="AN35" s="189">
        <f t="shared" si="14"/>
        <v>195</v>
      </c>
      <c r="AO35" s="189">
        <f t="shared" si="14"/>
        <v>93</v>
      </c>
      <c r="AP35" s="189">
        <f t="shared" si="14"/>
        <v>0</v>
      </c>
      <c r="AQ35" s="228">
        <f t="shared" si="14"/>
        <v>0</v>
      </c>
      <c r="AR35" s="513"/>
      <c r="AS35" s="514"/>
      <c r="AT35" s="187"/>
      <c r="AU35" s="220"/>
      <c r="AV35" s="188"/>
      <c r="AW35" s="229"/>
      <c r="AX35" s="474" t="s">
        <v>72</v>
      </c>
      <c r="AY35" s="475"/>
      <c r="BA35" s="289"/>
      <c r="BC35" s="279"/>
    </row>
    <row r="36" spans="1:55" s="4" customFormat="1" ht="3" customHeight="1" thickBot="1">
      <c r="A36" s="1"/>
      <c r="B36" s="430"/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30"/>
      <c r="W36" s="430"/>
      <c r="X36" s="430"/>
      <c r="Y36" s="430"/>
      <c r="Z36" s="430"/>
      <c r="AA36" s="430"/>
      <c r="AB36" s="430"/>
      <c r="AC36" s="430"/>
      <c r="AD36" s="430"/>
      <c r="AE36" s="430"/>
      <c r="AF36" s="430"/>
      <c r="AG36" s="430"/>
      <c r="AH36" s="430"/>
      <c r="AI36" s="430"/>
      <c r="AJ36" s="430"/>
      <c r="AK36" s="512"/>
      <c r="AL36" s="512"/>
      <c r="AM36" s="512"/>
      <c r="AN36" s="512"/>
      <c r="AO36" s="512"/>
      <c r="AP36" s="512"/>
      <c r="AQ36" s="512"/>
      <c r="AR36" s="512"/>
      <c r="AS36" s="512"/>
      <c r="AT36" s="512"/>
      <c r="AU36" s="512"/>
      <c r="AV36" s="512"/>
      <c r="AW36" s="512"/>
      <c r="AX36" s="416"/>
      <c r="AY36" s="416"/>
      <c r="BA36" s="289"/>
      <c r="BB36" s="287"/>
    </row>
    <row r="37" spans="1:55" ht="15" customHeight="1">
      <c r="B37" s="172"/>
      <c r="C37" s="157"/>
      <c r="D37" s="155"/>
      <c r="E37" s="156"/>
      <c r="F37" s="156"/>
      <c r="G37" s="157"/>
      <c r="H37" s="157"/>
      <c r="I37" s="157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5"/>
      <c r="AL37" s="159"/>
      <c r="AM37" s="159"/>
      <c r="AN37" s="159"/>
      <c r="AO37" s="159"/>
      <c r="AP37" s="159"/>
      <c r="AQ37" s="159"/>
      <c r="AR37" s="159"/>
      <c r="AS37" s="159"/>
      <c r="AT37" s="160"/>
      <c r="AU37" s="159"/>
      <c r="AV37" s="159"/>
      <c r="AW37" s="159"/>
      <c r="AX37" s="504" t="e">
        <f>IF(BA32&lt;&gt;0,BA32,IF(BA31&lt;&gt;0,BA31,IF(BA30&lt;&gt;0,BA30,IF(BA29&lt;&gt;0,BA29,IF(BA28&lt;&gt;0,BA28,IF(BA27&lt;&gt;0,BA27,IF(BA26&lt;&gt;0,BA26,IF(BA24&lt;&gt;0,BA24,IF(BA23&lt;&gt;0,BA23,IF(BA22&lt;&gt;0,BA22,IF(BA21&lt;&gt;0,BA21,IF(BA20&lt;&gt;0,BA20,IF(BA19&lt;&gt;0,BA19,IF(BA18&lt;&gt;0,BA18,IF(BA17&lt;&gt;0,BA17,IF(BA15&lt;&gt;0,BA15,IF(BA14&lt;&gt;0,BA14,IF(BA13&lt;&gt;0,BA13,IF(BA12&lt;&gt;0,BA12,IF(BA11&lt;&gt;0,BA11,IF(BA10&lt;&gt;0,BA10,IF(BA9&lt;&gt;0,BA9,IF(BA8&lt;&gt;0,BA8,IF(BA7&lt;&gt;0,BA7))))))))))))))))))))))))/100</f>
        <v>#REF!</v>
      </c>
      <c r="AY37" s="505"/>
    </row>
    <row r="38" spans="1:55" ht="15" customHeight="1">
      <c r="B38" s="173"/>
      <c r="C38" s="163"/>
      <c r="D38" s="161"/>
      <c r="E38" s="162"/>
      <c r="F38" s="162"/>
      <c r="G38" s="163"/>
      <c r="H38" s="163"/>
      <c r="I38" s="163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1"/>
      <c r="AL38" s="165"/>
      <c r="AM38" s="165"/>
      <c r="AN38" s="165"/>
      <c r="AO38" s="165"/>
      <c r="AP38" s="165"/>
      <c r="AQ38" s="165"/>
      <c r="AR38" s="165"/>
      <c r="AS38" s="165"/>
      <c r="AT38" s="161"/>
      <c r="AU38" s="165"/>
      <c r="AV38" s="165"/>
      <c r="AW38" s="165"/>
      <c r="AX38" s="506"/>
      <c r="AY38" s="507"/>
    </row>
    <row r="39" spans="1:55" ht="11.15" customHeight="1" thickBot="1">
      <c r="B39" s="166"/>
      <c r="C39" s="232"/>
      <c r="D39" s="167"/>
      <c r="E39" s="168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70"/>
      <c r="AL39" s="170"/>
      <c r="AM39" s="170"/>
      <c r="AN39" s="170"/>
      <c r="AO39" s="170"/>
      <c r="AP39" s="170"/>
      <c r="AQ39" s="170"/>
      <c r="AR39" s="170"/>
      <c r="AS39" s="170"/>
      <c r="AT39" s="171"/>
      <c r="AU39" s="167"/>
      <c r="AV39" s="170"/>
      <c r="AW39" s="170"/>
      <c r="AX39" s="508"/>
      <c r="AY39" s="509"/>
    </row>
    <row r="40" spans="1:55" ht="3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 ht="12.75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>
      <c r="AX42" s="286"/>
    </row>
    <row r="44" spans="1:55">
      <c r="B44" s="250" t="s">
        <v>71</v>
      </c>
    </row>
  </sheetData>
  <sheetProtection selectLockedCells="1"/>
  <mergeCells count="99">
    <mergeCell ref="B16:C16"/>
    <mergeCell ref="F16:G16"/>
    <mergeCell ref="H16:I16"/>
    <mergeCell ref="AV16:AW16"/>
    <mergeCell ref="J16:AJ16"/>
    <mergeCell ref="B25:C25"/>
    <mergeCell ref="F25:G25"/>
    <mergeCell ref="H25:I25"/>
    <mergeCell ref="J25:AJ25"/>
    <mergeCell ref="AV25:AW25"/>
    <mergeCell ref="AR35:AS35"/>
    <mergeCell ref="AX35:AY35"/>
    <mergeCell ref="B36:AW36"/>
    <mergeCell ref="AX37:AY39"/>
    <mergeCell ref="B34:E34"/>
    <mergeCell ref="H34:I34"/>
    <mergeCell ref="B35:D35"/>
    <mergeCell ref="F35:G35"/>
    <mergeCell ref="H35:I35"/>
    <mergeCell ref="J35:AK35"/>
    <mergeCell ref="AR31:AS31"/>
    <mergeCell ref="AV31:AW31"/>
    <mergeCell ref="AR32:AS32"/>
    <mergeCell ref="AV32:AW32"/>
    <mergeCell ref="B33:C33"/>
    <mergeCell ref="F33:G33"/>
    <mergeCell ref="H33:I33"/>
    <mergeCell ref="J33:AJ33"/>
    <mergeCell ref="AV33:AW33"/>
    <mergeCell ref="AR28:AS28"/>
    <mergeCell ref="AV28:AW28"/>
    <mergeCell ref="AR29:AS29"/>
    <mergeCell ref="AV29:AW29"/>
    <mergeCell ref="AR30:AS30"/>
    <mergeCell ref="AV30:AW30"/>
    <mergeCell ref="AR24:AS24"/>
    <mergeCell ref="AV24:AW24"/>
    <mergeCell ref="AR26:AS26"/>
    <mergeCell ref="AV26:AW26"/>
    <mergeCell ref="AR27:AS27"/>
    <mergeCell ref="AV27:AW27"/>
    <mergeCell ref="AR21:AS21"/>
    <mergeCell ref="AV21:AW21"/>
    <mergeCell ref="AR22:AS22"/>
    <mergeCell ref="AV22:AW22"/>
    <mergeCell ref="AR23:AS23"/>
    <mergeCell ref="AV23:AW23"/>
    <mergeCell ref="AR20:AS20"/>
    <mergeCell ref="AV20:AW20"/>
    <mergeCell ref="AR17:AS17"/>
    <mergeCell ref="AV17:AW17"/>
    <mergeCell ref="AR18:AS18"/>
    <mergeCell ref="AV18:AW18"/>
    <mergeCell ref="AR19:AS19"/>
    <mergeCell ref="AV19:AW19"/>
    <mergeCell ref="AR13:AS13"/>
    <mergeCell ref="AV13:AW13"/>
    <mergeCell ref="AR14:AS14"/>
    <mergeCell ref="AV14:AW14"/>
    <mergeCell ref="AR15:AS15"/>
    <mergeCell ref="AV15:AW1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AV6:AW6"/>
    <mergeCell ref="AN5:AQ5"/>
    <mergeCell ref="AR5:AW5"/>
    <mergeCell ref="AX5:AY5"/>
    <mergeCell ref="K6:L6"/>
    <mergeCell ref="M6:N6"/>
    <mergeCell ref="O6:P6"/>
    <mergeCell ref="Q6:R6"/>
    <mergeCell ref="S6:T6"/>
    <mergeCell ref="U6:V6"/>
    <mergeCell ref="W6:X6"/>
    <mergeCell ref="Y6:AB6"/>
    <mergeCell ref="AC6:AD6"/>
    <mergeCell ref="AE6:AH6"/>
    <mergeCell ref="AI6:AJ6"/>
    <mergeCell ref="AR6:AS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</mergeCells>
  <conditionalFormatting sqref="F7:F15 F17:F19">
    <cfRule type="expression" dxfId="72" priority="35">
      <formula>$F7=0</formula>
    </cfRule>
    <cfRule type="expression" dxfId="71" priority="36">
      <formula>$F7&gt;$BB7</formula>
    </cfRule>
    <cfRule type="expression" dxfId="70" priority="37">
      <formula>$F7&lt;$BB7</formula>
    </cfRule>
    <cfRule type="expression" dxfId="69" priority="38">
      <formula>$F7=$BB7</formula>
    </cfRule>
  </conditionalFormatting>
  <conditionalFormatting sqref="F20:F24 F26:F32">
    <cfRule type="expression" dxfId="68" priority="31">
      <formula>$F20=0</formula>
    </cfRule>
    <cfRule type="expression" dxfId="67" priority="32">
      <formula>$F20&gt;$BB20</formula>
    </cfRule>
    <cfRule type="expression" dxfId="66" priority="33">
      <formula>$F20&lt;$BB20</formula>
    </cfRule>
    <cfRule type="expression" dxfId="65" priority="34">
      <formula>$F20=$BB20</formula>
    </cfRule>
  </conditionalFormatting>
  <conditionalFormatting sqref="AX37:AY39">
    <cfRule type="expression" dxfId="64" priority="19">
      <formula>$AX$37=0</formula>
    </cfRule>
    <cfRule type="expression" dxfId="63" priority="28">
      <formula>$AX$37&gt;$AX$3</formula>
    </cfRule>
    <cfRule type="expression" dxfId="62" priority="29">
      <formula>$AX$37=$AX$3</formula>
    </cfRule>
    <cfRule type="expression" dxfId="61" priority="30">
      <formula>$AX$37&lt;$AX$3</formula>
    </cfRule>
  </conditionalFormatting>
  <conditionalFormatting sqref="B33:H33 J34:AY34 B34 F34:H34 J33 AK33:AY33">
    <cfRule type="expression" dxfId="60" priority="21">
      <formula>$AY$33=0</formula>
    </cfRule>
    <cfRule type="expression" dxfId="59" priority="22">
      <formula>$AY$33=$AX$3</formula>
    </cfRule>
    <cfRule type="expression" dxfId="58" priority="23">
      <formula>$AY$33&gt;$AX$3</formula>
    </cfRule>
    <cfRule type="expression" dxfId="57" priority="24">
      <formula>$AY$33&lt;$AX$3</formula>
    </cfRule>
  </conditionalFormatting>
  <conditionalFormatting sqref="H7:H15 H17:H19">
    <cfRule type="expression" dxfId="56" priority="14">
      <formula>AND($H7&gt;$F7, $H7&gt;$D7)</formula>
    </cfRule>
    <cfRule type="expression" dxfId="55" priority="15">
      <formula>AND($H7&gt;$F7,$H7&lt;$D7)</formula>
    </cfRule>
    <cfRule type="expression" dxfId="54" priority="16">
      <formula>AND($H7&lt;$F7,$H7&lt;$D7)</formula>
    </cfRule>
    <cfRule type="expression" dxfId="53" priority="17">
      <formula>$H7=0</formula>
    </cfRule>
    <cfRule type="expression" dxfId="52" priority="18">
      <formula>AND($H7=$F7,$H7=$D7)</formula>
    </cfRule>
  </conditionalFormatting>
  <conditionalFormatting sqref="H20:H24 H26:H32">
    <cfRule type="expression" dxfId="51" priority="9">
      <formula>AND($H20&gt;$F20, $H20&gt;$D20)</formula>
    </cfRule>
    <cfRule type="expression" dxfId="50" priority="10">
      <formula>AND($H20&gt;$F20,$H20&lt;$D20)</formula>
    </cfRule>
    <cfRule type="expression" dxfId="49" priority="11">
      <formula>AND($H20&lt;$F20,$H20&lt;$D20)</formula>
    </cfRule>
    <cfRule type="expression" dxfId="48" priority="12">
      <formula>$H20=0</formula>
    </cfRule>
    <cfRule type="expression" dxfId="47" priority="13">
      <formula>AND($H20=$F20,$H20=$D20)</formula>
    </cfRule>
  </conditionalFormatting>
  <conditionalFormatting sqref="B16:H16 J16 AK16:AY16">
    <cfRule type="expression" dxfId="46" priority="78">
      <formula>$AY$16=0</formula>
    </cfRule>
    <cfRule type="expression" dxfId="45" priority="79">
      <formula>$AY$16=$AX$3</formula>
    </cfRule>
    <cfRule type="expression" dxfId="44" priority="80">
      <formula>$AY$16&gt;$AX$3</formula>
    </cfRule>
    <cfRule type="expression" dxfId="43" priority="81">
      <formula>$AY$16&lt;$AX$3</formula>
    </cfRule>
  </conditionalFormatting>
  <conditionalFormatting sqref="B25:H25 J25 AK25:AY25">
    <cfRule type="expression" dxfId="42" priority="1">
      <formula>$AY$25=0</formula>
    </cfRule>
    <cfRule type="expression" dxfId="41" priority="2">
      <formula>$AY$25=$AX$3</formula>
    </cfRule>
    <cfRule type="expression" dxfId="40" priority="3">
      <formula>$AY$25&gt;$AX$3</formula>
    </cfRule>
    <cfRule type="expression" dxfId="39" priority="4">
      <formula>$AY$25&lt;$AX$3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4097" r:id="rId4" name="btnGuardarOEE">
          <controlPr defaultSize="0" autoLine="0" r:id="rId5">
            <anchor moveWithCells="1">
              <from>
                <xdr:col>49</xdr:col>
                <xdr:colOff>0</xdr:colOff>
                <xdr:row>40</xdr:row>
                <xdr:rowOff>19050</xdr:rowOff>
              </from>
              <to>
                <xdr:col>51</xdr:col>
                <xdr:colOff>19050</xdr:colOff>
                <xdr:row>42</xdr:row>
                <xdr:rowOff>63500</xdr:rowOff>
              </to>
            </anchor>
          </controlPr>
        </control>
      </mc:Choice>
      <mc:Fallback>
        <control shapeId="4097" r:id="rId4" name="btnGuardarOE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E45"/>
  <sheetViews>
    <sheetView showGridLines="0" zoomScale="55" zoomScaleNormal="55" workbookViewId="0">
      <selection activeCell="B27" sqref="B27:C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482" t="s">
        <v>58</v>
      </c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G2" s="483"/>
      <c r="AH2" s="483"/>
      <c r="AI2" s="483"/>
      <c r="AJ2" s="484"/>
      <c r="AK2" s="241"/>
      <c r="AL2" s="179"/>
      <c r="AM2" s="179"/>
      <c r="AN2" s="478"/>
      <c r="AO2" s="478"/>
      <c r="AP2" s="478"/>
      <c r="AQ2" s="478"/>
      <c r="AR2" s="478"/>
      <c r="AS2" s="478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29" t="str">
        <f>hourlyJava!C26</f>
        <v>L003</v>
      </c>
      <c r="G3" s="530"/>
      <c r="H3" s="530"/>
      <c r="I3" s="530"/>
      <c r="J3" s="530"/>
      <c r="K3" s="530"/>
      <c r="L3" s="530"/>
      <c r="M3" s="530"/>
      <c r="N3" s="530"/>
      <c r="O3" s="530"/>
      <c r="P3" s="530"/>
      <c r="Q3" s="530"/>
      <c r="R3" s="530"/>
      <c r="S3" s="530"/>
      <c r="T3" s="530"/>
      <c r="U3" s="530"/>
      <c r="V3" s="530"/>
      <c r="W3" s="530"/>
      <c r="X3" s="530"/>
      <c r="Y3" s="530"/>
      <c r="Z3" s="530"/>
      <c r="AA3" s="530"/>
      <c r="AB3" s="530"/>
      <c r="AC3" s="530"/>
      <c r="AD3" s="530"/>
      <c r="AE3" s="530"/>
      <c r="AF3" s="530"/>
      <c r="AG3" s="530"/>
      <c r="AH3" s="530"/>
      <c r="AI3" s="530"/>
      <c r="AJ3" s="531"/>
      <c r="AK3" s="182"/>
      <c r="AL3" s="182"/>
      <c r="AM3" s="182"/>
      <c r="AN3" s="182"/>
      <c r="AO3" s="182"/>
      <c r="AP3" s="182"/>
      <c r="AQ3" s="471"/>
      <c r="AR3" s="471"/>
      <c r="AS3" s="471"/>
      <c r="AT3" s="252">
        <f>hourlyJava!B26</f>
        <v>43020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479"/>
      <c r="C4" s="479"/>
      <c r="D4" s="479"/>
      <c r="E4" s="479"/>
      <c r="F4" s="479"/>
      <c r="G4" s="479"/>
      <c r="H4" s="479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25"/>
      <c r="AY4" s="425"/>
      <c r="BA4" s="287"/>
      <c r="BB4" s="287"/>
    </row>
    <row r="5" spans="1:57" ht="18" customHeight="1" thickBot="1">
      <c r="B5" s="261"/>
      <c r="C5" s="262" t="s">
        <v>68</v>
      </c>
      <c r="D5" s="480" t="s">
        <v>60</v>
      </c>
      <c r="E5" s="481"/>
      <c r="F5" s="488" t="s">
        <v>96</v>
      </c>
      <c r="G5" s="489"/>
      <c r="H5" s="490" t="s">
        <v>95</v>
      </c>
      <c r="I5" s="491"/>
      <c r="J5" s="488" t="s">
        <v>64</v>
      </c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4"/>
      <c r="W5" s="494"/>
      <c r="X5" s="494"/>
      <c r="Y5" s="494"/>
      <c r="Z5" s="494"/>
      <c r="AA5" s="494"/>
      <c r="AB5" s="494"/>
      <c r="AC5" s="494"/>
      <c r="AD5" s="494"/>
      <c r="AE5" s="494"/>
      <c r="AF5" s="494"/>
      <c r="AG5" s="494"/>
      <c r="AH5" s="494"/>
      <c r="AI5" s="494"/>
      <c r="AJ5" s="489"/>
      <c r="AK5" s="263" t="s">
        <v>7</v>
      </c>
      <c r="AL5" s="495" t="s">
        <v>65</v>
      </c>
      <c r="AM5" s="496"/>
      <c r="AN5" s="495" t="s">
        <v>66</v>
      </c>
      <c r="AO5" s="497"/>
      <c r="AP5" s="497"/>
      <c r="AQ5" s="497"/>
      <c r="AR5" s="495" t="s">
        <v>10</v>
      </c>
      <c r="AS5" s="497"/>
      <c r="AT5" s="497"/>
      <c r="AU5" s="497"/>
      <c r="AV5" s="497"/>
      <c r="AW5" s="496"/>
      <c r="AX5" s="492" t="s">
        <v>73</v>
      </c>
      <c r="AY5" s="493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3"/>
      <c r="Z6" s="473"/>
      <c r="AA6" s="473"/>
      <c r="AB6" s="473"/>
      <c r="AC6" s="472"/>
      <c r="AD6" s="472"/>
      <c r="AE6" s="473"/>
      <c r="AF6" s="473"/>
      <c r="AG6" s="473"/>
      <c r="AH6" s="473"/>
      <c r="AI6" s="472"/>
      <c r="AJ6" s="501"/>
      <c r="AK6" s="268" t="s">
        <v>14</v>
      </c>
      <c r="AL6" s="269" t="s">
        <v>15</v>
      </c>
      <c r="AM6" s="424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502" t="s">
        <v>16</v>
      </c>
      <c r="AS6" s="503"/>
      <c r="AT6" s="274" t="s">
        <v>17</v>
      </c>
      <c r="AU6" s="275" t="s">
        <v>16</v>
      </c>
      <c r="AV6" s="498" t="s">
        <v>17</v>
      </c>
      <c r="AW6" s="499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176.47058823529412</v>
      </c>
      <c r="G7" s="300">
        <f>F7</f>
        <v>176.47058823529412</v>
      </c>
      <c r="H7" s="304">
        <f>VALUE(hourlyJava!E9)</f>
        <v>215</v>
      </c>
      <c r="I7" s="304">
        <f>H7</f>
        <v>215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0001179009/15</v>
      </c>
      <c r="AL7" s="247">
        <f>VALUE(hourlyJava!G9)</f>
        <v>0</v>
      </c>
      <c r="AM7" s="278"/>
      <c r="AN7" s="247">
        <f>VALUE(hourlyJava!H9)</f>
        <v>0</v>
      </c>
      <c r="AO7" s="249">
        <f>VALUE(hourlyJava!I9)</f>
        <v>0</v>
      </c>
      <c r="AP7" s="249">
        <f>VALUE(hourlyJava!J9)</f>
        <v>0</v>
      </c>
      <c r="AQ7" s="249">
        <f>VALUE(hourlyJava!K9)</f>
        <v>0</v>
      </c>
      <c r="AR7" s="523" t="str">
        <f>hourlyJava!L9</f>
        <v xml:space="preserve">
</v>
      </c>
      <c r="AS7" s="524"/>
      <c r="AT7" s="293" t="str">
        <f>hourlyJava!M9</f>
        <v xml:space="preserve">
</v>
      </c>
      <c r="AU7" s="296" t="str">
        <f>hourlyJava!N9</f>
        <v xml:space="preserve">
</v>
      </c>
      <c r="AV7" s="500" t="str">
        <f>hourlyJava!O9</f>
        <v xml:space="preserve">
</v>
      </c>
      <c r="AW7" s="500"/>
      <c r="AX7" s="183">
        <f>IF(H7=0, 0, H7/D7*100)</f>
        <v>121.83333333333333</v>
      </c>
      <c r="AY7" s="196">
        <f>AX7</f>
        <v>121.83333333333333</v>
      </c>
      <c r="BA7" s="289">
        <f>AY7</f>
        <v>121.83333333333333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211.76470588235293</v>
      </c>
      <c r="G8" s="300">
        <f>IF(F8=0,0,G7+F8)</f>
        <v>388.23529411764707</v>
      </c>
      <c r="H8" s="304">
        <f>VALUE(hourlyJava!E10)</f>
        <v>230</v>
      </c>
      <c r="I8" s="304">
        <f>IF(H8=0,0,I7+H8)</f>
        <v>445</v>
      </c>
      <c r="J8" s="420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0001179009/15</v>
      </c>
      <c r="AL8" s="247">
        <f>VALUE(hourlyJava!G10)</f>
        <v>0</v>
      </c>
      <c r="AM8" s="278"/>
      <c r="AN8" s="247">
        <f>VALUE(hourlyJava!H10)</f>
        <v>0</v>
      </c>
      <c r="AO8" s="249">
        <f>VALUE(hourlyJava!I10)</f>
        <v>0</v>
      </c>
      <c r="AP8" s="249">
        <f>VALUE(hourlyJava!J10)</f>
        <v>0</v>
      </c>
      <c r="AQ8" s="249">
        <f>VALUE(hourlyJava!K10)</f>
        <v>0</v>
      </c>
      <c r="AR8" s="523" t="str">
        <f>hourlyJava!L10</f>
        <v xml:space="preserve">
</v>
      </c>
      <c r="AS8" s="524"/>
      <c r="AT8" s="293" t="str">
        <f>hourlyJava!M10</f>
        <v xml:space="preserve">
</v>
      </c>
      <c r="AU8" s="296" t="str">
        <f>hourlyJava!N10</f>
        <v xml:space="preserve">
</v>
      </c>
      <c r="AV8" s="500" t="str">
        <f>hourlyJava!O10</f>
        <v xml:space="preserve">
</v>
      </c>
      <c r="AW8" s="500"/>
      <c r="AX8" s="183">
        <f t="shared" ref="AX8:AX19" si="1">IF(H8=0, 0, H8/D8*100)</f>
        <v>108.61111111111113</v>
      </c>
      <c r="AY8" s="184">
        <f>$I8/SUM($D7:$D8)*100</f>
        <v>114.62121212121212</v>
      </c>
      <c r="BA8" s="289">
        <f>$I8/SUM($D$7:$D8)*100</f>
        <v>114.62121212121212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600</v>
      </c>
      <c r="F9" s="223">
        <f>IF(SUM(AL9:AQ9)=0,$D9,SUM(D9-AL9-AM9)-(AN9*60/AT2)-(AO9*60/AT2)-(AP9*60/AT2)-(AQ9*60/AT2))</f>
        <v>105.88235294117646</v>
      </c>
      <c r="G9" s="300">
        <f t="shared" ref="G9:G18" si="4">IF(F9=0,0,G8+F9)</f>
        <v>494.11764705882354</v>
      </c>
      <c r="H9" s="304">
        <f>VALUE(hourlyJava!E11)</f>
        <v>112</v>
      </c>
      <c r="I9" s="304">
        <f t="shared" ref="I9:I25" si="5">IF(H9=0,0,I8+H9)</f>
        <v>557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0001170641/15</v>
      </c>
      <c r="AL9" s="247">
        <f>VALUE(hourlyJava!G11)</f>
        <v>0</v>
      </c>
      <c r="AM9" s="278"/>
      <c r="AN9" s="247">
        <f>VALUE(hourlyJava!H11)</f>
        <v>30</v>
      </c>
      <c r="AO9" s="249">
        <f>VALUE(hourlyJava!I11)</f>
        <v>0</v>
      </c>
      <c r="AP9" s="249">
        <f>VALUE(hourlyJava!J11)</f>
        <v>0</v>
      </c>
      <c r="AQ9" s="249">
        <f>VALUE(hourlyJava!K11)</f>
        <v>0</v>
      </c>
      <c r="AR9" s="523" t="str">
        <f>hourlyJava!L11</f>
        <v xml:space="preserve">
L003</v>
      </c>
      <c r="AS9" s="524"/>
      <c r="AT9" s="293" t="str">
        <f>hourlyJava!M11</f>
        <v xml:space="preserve">
VW-0001179009 a CHRYSLER-0001170641</v>
      </c>
      <c r="AU9" s="296" t="str">
        <f>hourlyJava!N11</f>
        <v xml:space="preserve">
</v>
      </c>
      <c r="AV9" s="500" t="str">
        <f>hourlyJava!O11</f>
        <v xml:space="preserve">
</v>
      </c>
      <c r="AW9" s="500"/>
      <c r="AX9" s="183">
        <f t="shared" si="1"/>
        <v>52.8888888888889</v>
      </c>
      <c r="AY9" s="184">
        <f>I9/SUM(D7:D9)*100</f>
        <v>92.833333333333329</v>
      </c>
      <c r="BA9" s="289">
        <f>$I9/SUM($D$7:$D9)*100</f>
        <v>92.833333333333329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>
        <f>IF(SUM(AL10:AQ10)=0,$D10,SUM(D10-AL10-AM10)-(AN10*60/AT2)-(AO10*60/AT2)-(AP10*60/AT2)-(AQ10*60/AT2))</f>
        <v>175.47058823529409</v>
      </c>
      <c r="G10" s="300">
        <f t="shared" si="4"/>
        <v>669.58823529411757</v>
      </c>
      <c r="H10" s="304">
        <f>VALUE(hourlyJava!E12)</f>
        <v>200</v>
      </c>
      <c r="I10" s="304">
        <f t="shared" si="5"/>
        <v>757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0001170641/15</v>
      </c>
      <c r="AL10" s="247">
        <f>VALUE(hourlyJava!G12)</f>
        <v>1</v>
      </c>
      <c r="AM10" s="278"/>
      <c r="AN10" s="247">
        <f>VALUE(hourlyJava!H12)</f>
        <v>0</v>
      </c>
      <c r="AO10" s="249">
        <f>VALUE(hourlyJava!I12)</f>
        <v>10</v>
      </c>
      <c r="AP10" s="249">
        <f>VALUE(hourlyJava!J12)</f>
        <v>0</v>
      </c>
      <c r="AQ10" s="249">
        <f>VALUE(hourlyJava!K12)</f>
        <v>0</v>
      </c>
      <c r="AR10" s="523" t="str">
        <f>hourlyJava!L12</f>
        <v xml:space="preserve">
</v>
      </c>
      <c r="AS10" s="524"/>
      <c r="AT10" s="293" t="str">
        <f>hourlyJava!M12</f>
        <v xml:space="preserve">
</v>
      </c>
      <c r="AU10" s="296" t="str">
        <f>hourlyJava!N12</f>
        <v xml:space="preserve">
1190
</v>
      </c>
      <c r="AV10" s="500" t="str">
        <f>hourlyJava!O12</f>
        <v xml:space="preserve">
Cambio de arnes
</v>
      </c>
      <c r="AW10" s="500"/>
      <c r="AX10" s="183">
        <f t="shared" si="1"/>
        <v>94.444444444444457</v>
      </c>
      <c r="AY10" s="184">
        <f>I10/SUM(D7:D10)*100</f>
        <v>93.253623188405797</v>
      </c>
      <c r="BA10" s="289">
        <f>$I10/SUM($D$7:$D10)*100</f>
        <v>93.253623188405797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3"/>
        <v>1023.5294117647059</v>
      </c>
      <c r="F11" s="223">
        <f>IF(SUM(AL11:AQ11)=0,$D11,SUM(D11-AL11-AM11)-(AN11*60/AT2)-(AO11*60/AT2)-(AP11*60/AT2)-(AQ11*60/AT2))</f>
        <v>189.58823529411762</v>
      </c>
      <c r="G11" s="300">
        <f t="shared" si="4"/>
        <v>859.17647058823513</v>
      </c>
      <c r="H11" s="304">
        <f>VALUE(hourlyJava!E13)</f>
        <v>215</v>
      </c>
      <c r="I11" s="304">
        <f t="shared" si="5"/>
        <v>972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0001170641/15</v>
      </c>
      <c r="AL11" s="247">
        <f>VALUE(hourlyJava!G13)</f>
        <v>1</v>
      </c>
      <c r="AM11" s="278"/>
      <c r="AN11" s="247">
        <f>VALUE(hourlyJava!H13)</f>
        <v>0</v>
      </c>
      <c r="AO11" s="249">
        <f>VALUE(hourlyJava!I13)</f>
        <v>6</v>
      </c>
      <c r="AP11" s="249">
        <f>VALUE(hourlyJava!J13)</f>
        <v>0</v>
      </c>
      <c r="AQ11" s="249">
        <f>VALUE(hourlyJava!K13)</f>
        <v>0</v>
      </c>
      <c r="AR11" s="523" t="str">
        <f>hourlyJava!L13</f>
        <v xml:space="preserve">
</v>
      </c>
      <c r="AS11" s="524"/>
      <c r="AT11" s="293" t="str">
        <f>hourlyJava!M13</f>
        <v xml:space="preserve">
</v>
      </c>
      <c r="AU11" s="296" t="str">
        <f>hourlyJava!N13</f>
        <v xml:space="preserve">
1060
</v>
      </c>
      <c r="AV11" s="500" t="str">
        <f>hourlyJava!O13</f>
        <v xml:space="preserve">
Cambio de mordazas
</v>
      </c>
      <c r="AW11" s="500"/>
      <c r="AX11" s="183">
        <f t="shared" si="1"/>
        <v>101.5277777777778</v>
      </c>
      <c r="AY11" s="184">
        <f>I11/SUM(D7:D11)*100</f>
        <v>94.965517241379317</v>
      </c>
      <c r="BA11" s="289">
        <f>$I11/SUM($D$7:$D11)*100</f>
        <v>94.965517241379317</v>
      </c>
      <c r="BB11" s="290">
        <f t="shared" si="2"/>
        <v>158.8235294117647</v>
      </c>
      <c r="BC11" s="279"/>
      <c r="BD11" s="239"/>
      <c r="BE11" s="235"/>
    </row>
    <row r="12" spans="1:57" ht="18" customHeight="1" thickBot="1">
      <c r="B12" s="175" t="s">
        <v>23</v>
      </c>
      <c r="C12" s="242">
        <v>60</v>
      </c>
      <c r="D12" s="224">
        <f t="shared" si="0"/>
        <v>211.76470588235293</v>
      </c>
      <c r="E12" s="225">
        <f>E11+D12</f>
        <v>1235.2941176470588</v>
      </c>
      <c r="F12" s="223">
        <f>IF(SUM(AL12:AQ12)=0,$D12,SUM(D12-AL12-AM12)-(AN12*60/AT2)-(AO12*60/AT2)-(AP12*60/AT2)-(AQ12*60/AT2))</f>
        <v>59.999999999999993</v>
      </c>
      <c r="G12" s="300">
        <f>IF(F12=0,0,G11+F12)</f>
        <v>919.17647058823513</v>
      </c>
      <c r="H12" s="304">
        <f>VALUE(hourlyJava!E14)</f>
        <v>66</v>
      </c>
      <c r="I12" s="304">
        <f>IF(H12=0,0,I11+H12)</f>
        <v>1038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0001180603/15</v>
      </c>
      <c r="AL12" s="247">
        <f>VALUE(hourlyJava!G14)</f>
        <v>0</v>
      </c>
      <c r="AM12" s="278"/>
      <c r="AN12" s="247">
        <f>VALUE(hourlyJava!H14)</f>
        <v>30</v>
      </c>
      <c r="AO12" s="249">
        <f>VALUE(hourlyJava!I14)</f>
        <v>13</v>
      </c>
      <c r="AP12" s="249">
        <f>VALUE(hourlyJava!J14)</f>
        <v>0</v>
      </c>
      <c r="AQ12" s="249">
        <f>VALUE(hourlyJava!K14)</f>
        <v>0</v>
      </c>
      <c r="AR12" s="523" t="str">
        <f>hourlyJava!L14</f>
        <v xml:space="preserve">
L003</v>
      </c>
      <c r="AS12" s="524"/>
      <c r="AT12" s="293" t="str">
        <f>hourlyJava!M14</f>
        <v xml:space="preserve">
CHRYSLER-0001170641 a FORD-0001180603</v>
      </c>
      <c r="AU12" s="296" t="str">
        <f>hourlyJava!N14</f>
        <v xml:space="preserve">
1210
</v>
      </c>
      <c r="AV12" s="500" t="str">
        <f>hourlyJava!O14</f>
        <v xml:space="preserve">
Ajuste de etiqueta en STN 1210
</v>
      </c>
      <c r="AW12" s="500"/>
      <c r="AX12" s="183">
        <f t="shared" si="1"/>
        <v>31.166666666666671</v>
      </c>
      <c r="AY12" s="184">
        <f>I12/SUM(D7:D12)*100</f>
        <v>84.028571428571425</v>
      </c>
      <c r="BA12" s="289">
        <f>$I12/SUM($D$7:$D12)*100</f>
        <v>84.028571428571425</v>
      </c>
      <c r="BB12" s="290">
        <f t="shared" si="2"/>
        <v>158.8235294117647</v>
      </c>
      <c r="BC12" s="279"/>
      <c r="BD12" s="240"/>
      <c r="BE12" s="235"/>
    </row>
    <row r="13" spans="1:57" ht="18" customHeight="1" thickBot="1">
      <c r="B13" s="474" t="s">
        <v>27</v>
      </c>
      <c r="C13" s="475"/>
      <c r="D13" s="233" t="s">
        <v>26</v>
      </c>
      <c r="E13" s="377">
        <f>SUM(D7:D12)</f>
        <v>1235.2941176470588</v>
      </c>
      <c r="F13" s="476">
        <f>SUM(G7:G12)</f>
        <v>3506.7647058823527</v>
      </c>
      <c r="G13" s="477"/>
      <c r="H13" s="525">
        <f>SUM(H7:H12)</f>
        <v>1038</v>
      </c>
      <c r="I13" s="526"/>
      <c r="J13" s="532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33"/>
      <c r="X13" s="533"/>
      <c r="Y13" s="533"/>
      <c r="Z13" s="533"/>
      <c r="AA13" s="533"/>
      <c r="AB13" s="533"/>
      <c r="AC13" s="533"/>
      <c r="AD13" s="533"/>
      <c r="AE13" s="533"/>
      <c r="AF13" s="533"/>
      <c r="AG13" s="533"/>
      <c r="AH13" s="533"/>
      <c r="AI13" s="533"/>
      <c r="AJ13" s="534"/>
      <c r="AK13" s="206"/>
      <c r="AL13" s="207">
        <f t="shared" ref="AL13:AQ13" si="6">SUM(AL7:AL12)</f>
        <v>2</v>
      </c>
      <c r="AM13" s="421">
        <f t="shared" si="6"/>
        <v>0</v>
      </c>
      <c r="AN13" s="207">
        <f t="shared" si="6"/>
        <v>60</v>
      </c>
      <c r="AO13" s="208">
        <f t="shared" si="6"/>
        <v>29</v>
      </c>
      <c r="AP13" s="209">
        <f t="shared" si="6"/>
        <v>0</v>
      </c>
      <c r="AQ13" s="209">
        <f t="shared" si="6"/>
        <v>0</v>
      </c>
      <c r="AR13" s="210"/>
      <c r="AS13" s="211"/>
      <c r="AT13" s="212"/>
      <c r="AU13" s="213"/>
      <c r="AV13" s="511"/>
      <c r="AW13" s="511"/>
      <c r="AX13" s="207" t="s">
        <v>27</v>
      </c>
      <c r="AY13" s="260">
        <f>IF(AY12&lt;&gt;0,AY12,IF(AY11&lt;&gt;0,AY11,IF(AY10&lt;&gt;0,AY10,IF(AY7&lt;&gt;0,AY7,IF(AY6&lt;&gt;0,AY6,IF(AY5&lt;&gt;0,AY5,IF(AY4&lt;&gt;0,AY4,IF(AY3&lt;&gt;0,AY3,IF(AY2&lt;&gt;0,AY2,IF(AY1&lt;&gt;0,AY1,IF(#REF!&lt;&gt;0,#REF!,IF(#REF!=0,#REF!,IF(#REF!&lt;&gt;0,#REF!)))))))))))))/100</f>
        <v>0.8402857142857143</v>
      </c>
      <c r="BA13" s="289"/>
      <c r="BC13" s="279"/>
    </row>
    <row r="14" spans="1:57" ht="18" customHeight="1">
      <c r="B14" s="176" t="s">
        <v>24</v>
      </c>
      <c r="C14" s="242">
        <v>50</v>
      </c>
      <c r="D14" s="224">
        <f t="shared" si="0"/>
        <v>176.47058823529412</v>
      </c>
      <c r="E14" s="225">
        <f>E12+D14</f>
        <v>1411.7647058823529</v>
      </c>
      <c r="F14" s="223">
        <f>IF(SUM(AL14:AQ14)=0,$D14,SUM(D14-AL14-AM14)-(AN14*60/AT2)-(AO14*60/AT2)-(AP14*60/AT2)-(AQ14*60/AT2))</f>
        <v>176.47058823529412</v>
      </c>
      <c r="G14" s="300">
        <f>IF(F14=0,0,G12+F14)</f>
        <v>1095.6470588235293</v>
      </c>
      <c r="H14" s="304">
        <f>VALUE(hourlyJava!E15)</f>
        <v>120</v>
      </c>
      <c r="I14" s="304">
        <f>IF(H14=0,0,I12+H14)</f>
        <v>1158</v>
      </c>
      <c r="J14" s="44"/>
      <c r="K14" s="42"/>
      <c r="L14" s="4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42"/>
      <c r="AH14" s="43"/>
      <c r="AI14" s="42"/>
      <c r="AJ14" s="41"/>
      <c r="AK14" s="292" t="str">
        <f>hourlyJava!F15</f>
        <v>0001180603/15</v>
      </c>
      <c r="AL14" s="247">
        <f>VALUE(hourlyJava!G15)</f>
        <v>0</v>
      </c>
      <c r="AM14" s="278"/>
      <c r="AN14" s="247">
        <f>VALUE(hourlyJava!H15)</f>
        <v>0</v>
      </c>
      <c r="AO14" s="249">
        <f>VALUE(hourlyJava!I15)</f>
        <v>0</v>
      </c>
      <c r="AP14" s="249">
        <f>VALUE(hourlyJava!J15)</f>
        <v>0</v>
      </c>
      <c r="AQ14" s="249">
        <f>VALUE(hourlyJava!K15)</f>
        <v>0</v>
      </c>
      <c r="AR14" s="523" t="str">
        <f>hourlyJava!L15</f>
        <v xml:space="preserve">
</v>
      </c>
      <c r="AS14" s="524"/>
      <c r="AT14" s="293" t="str">
        <f>hourlyJava!M15</f>
        <v xml:space="preserve">
</v>
      </c>
      <c r="AU14" s="296" t="str">
        <f>hourlyJava!N15</f>
        <v xml:space="preserve">
</v>
      </c>
      <c r="AV14" s="500" t="str">
        <f>hourlyJava!O15</f>
        <v xml:space="preserve">
</v>
      </c>
      <c r="AW14" s="500"/>
      <c r="AX14" s="183">
        <f t="shared" si="1"/>
        <v>68</v>
      </c>
      <c r="AY14" s="184">
        <f>I14/SUM(D7:D14)*100</f>
        <v>82.025000000000006</v>
      </c>
      <c r="BA14" s="289">
        <f>$I14/SUM($D$7:$D14)*100</f>
        <v>82.025000000000006</v>
      </c>
      <c r="BB14" s="290">
        <f t="shared" si="2"/>
        <v>132.35294117647058</v>
      </c>
      <c r="BC14" s="280"/>
      <c r="BD14" s="235"/>
      <c r="BE14" s="235"/>
    </row>
    <row r="15" spans="1:57" ht="18" customHeight="1">
      <c r="B15" s="191" t="s">
        <v>25</v>
      </c>
      <c r="C15" s="243">
        <v>60</v>
      </c>
      <c r="D15" s="224">
        <f t="shared" si="0"/>
        <v>211.76470588235293</v>
      </c>
      <c r="E15" s="225">
        <f t="shared" si="3"/>
        <v>1623.5294117647059</v>
      </c>
      <c r="F15" s="223">
        <f>IF(SUM(AL15:AQ15)=0,$D15,SUM(D15-AL15-AM15)-(AN15*60/AT2)-(AO15*60/AT2)-(AP15*60/AT2)-(AQ15*60/AT2))</f>
        <v>190.58823529411762</v>
      </c>
      <c r="G15" s="300">
        <f t="shared" si="4"/>
        <v>1286.2352941176468</v>
      </c>
      <c r="H15" s="304">
        <f>VALUE(hourlyJava!E16)</f>
        <v>215</v>
      </c>
      <c r="I15" s="304">
        <f t="shared" si="5"/>
        <v>1373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hourlyJava!F16</f>
        <v>0001180603/15</v>
      </c>
      <c r="AL15" s="247">
        <f>VALUE(hourlyJava!G16)</f>
        <v>0</v>
      </c>
      <c r="AM15" s="278"/>
      <c r="AN15" s="247">
        <f>VALUE(hourlyJava!H16)</f>
        <v>0</v>
      </c>
      <c r="AO15" s="249">
        <f>VALUE(hourlyJava!I16)</f>
        <v>6</v>
      </c>
      <c r="AP15" s="249">
        <f>VALUE(hourlyJava!J16)</f>
        <v>0</v>
      </c>
      <c r="AQ15" s="249">
        <f>VALUE(hourlyJava!K16)</f>
        <v>0</v>
      </c>
      <c r="AR15" s="523" t="str">
        <f>hourlyJava!L16</f>
        <v xml:space="preserve">
</v>
      </c>
      <c r="AS15" s="524"/>
      <c r="AT15" s="293" t="str">
        <f>hourlyJava!M16</f>
        <v xml:space="preserve">
</v>
      </c>
      <c r="AU15" s="296" t="str">
        <f>hourlyJava!N16</f>
        <v xml:space="preserve">
1020
</v>
      </c>
      <c r="AV15" s="500" t="str">
        <f>hourlyJava!O16</f>
        <v xml:space="preserve">
Cambio de ribon STN 1210
</v>
      </c>
      <c r="AW15" s="500"/>
      <c r="AX15" s="183">
        <f t="shared" si="1"/>
        <v>101.5277777777778</v>
      </c>
      <c r="AY15" s="184">
        <f>I15/SUM(D7:D15)*100</f>
        <v>84.568840579710141</v>
      </c>
      <c r="BA15" s="289">
        <f>$I15/SUM($D$7:$D15)*100</f>
        <v>84.568840579710141</v>
      </c>
      <c r="BB15" s="290">
        <f t="shared" si="2"/>
        <v>158.8235294117647</v>
      </c>
      <c r="BC15" s="280"/>
      <c r="BD15" s="235"/>
      <c r="BE15" s="235"/>
    </row>
    <row r="16" spans="1:57" ht="18" customHeight="1">
      <c r="B16" s="191" t="s">
        <v>28</v>
      </c>
      <c r="C16" s="243">
        <v>60</v>
      </c>
      <c r="D16" s="224">
        <f t="shared" si="0"/>
        <v>211.76470588235293</v>
      </c>
      <c r="E16" s="225">
        <f t="shared" si="3"/>
        <v>1835.2941176470588</v>
      </c>
      <c r="F16" s="223">
        <f>IF(SUM(AL16:AQ16)=0,$D16,SUM(D16-AL16-AM16)-(AN16*60/AT2)-(AO16*60/AT2)-(AP16*60/AT2)-(AQ16*60/AT2))</f>
        <v>176.47058823529409</v>
      </c>
      <c r="G16" s="300">
        <f t="shared" si="4"/>
        <v>1462.705882352941</v>
      </c>
      <c r="H16" s="304">
        <f>VALUE(hourlyJava!E17)</f>
        <v>159</v>
      </c>
      <c r="I16" s="304">
        <f t="shared" si="5"/>
        <v>1532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hourlyJava!F17</f>
        <v>0001180603/15</v>
      </c>
      <c r="AL16" s="247">
        <f>VALUE(hourlyJava!G17)</f>
        <v>0</v>
      </c>
      <c r="AM16" s="278"/>
      <c r="AN16" s="247">
        <f>VALUE(hourlyJava!H17)</f>
        <v>0</v>
      </c>
      <c r="AO16" s="249">
        <f>VALUE(hourlyJava!I17)</f>
        <v>10</v>
      </c>
      <c r="AP16" s="249">
        <f>VALUE(hourlyJava!J17)</f>
        <v>0</v>
      </c>
      <c r="AQ16" s="249">
        <f>VALUE(hourlyJava!K17)</f>
        <v>0</v>
      </c>
      <c r="AR16" s="523" t="str">
        <f>hourlyJava!L17</f>
        <v xml:space="preserve">
</v>
      </c>
      <c r="AS16" s="524"/>
      <c r="AT16" s="293" t="str">
        <f>hourlyJava!M17</f>
        <v xml:space="preserve">
</v>
      </c>
      <c r="AU16" s="296" t="str">
        <f>hourlyJava!N17</f>
        <v xml:space="preserve">
1140
</v>
      </c>
      <c r="AV16" s="500" t="str">
        <f>hourlyJava!O17</f>
        <v xml:space="preserve">
Limpieza de herramental STN 1140
</v>
      </c>
      <c r="AW16" s="500"/>
      <c r="AX16" s="183">
        <f t="shared" si="1"/>
        <v>75.083333333333329</v>
      </c>
      <c r="AY16" s="184">
        <f>G16/SUM(D7:D16)*100</f>
        <v>79.698717948717942</v>
      </c>
      <c r="BA16" s="289">
        <f>$I16/SUM($D$7:$D16)*100</f>
        <v>83.474358974358978</v>
      </c>
      <c r="BB16" s="290">
        <f t="shared" si="2"/>
        <v>158.8235294117647</v>
      </c>
      <c r="BC16" s="280"/>
      <c r="BD16" s="235"/>
      <c r="BE16" s="235"/>
    </row>
    <row r="17" spans="2:57" ht="18" customHeight="1">
      <c r="B17" s="191" t="s">
        <v>29</v>
      </c>
      <c r="C17" s="243">
        <v>60</v>
      </c>
      <c r="D17" s="224">
        <f t="shared" si="0"/>
        <v>211.76470588235293</v>
      </c>
      <c r="E17" s="225">
        <f>E16+D17</f>
        <v>2047.0588235294117</v>
      </c>
      <c r="F17" s="223">
        <f>IF(SUM(AL17:AQ17)=0,$D17,SUM(D17-AL17-AM17)-(AN17*60/AT2)-(AO17*60/AT2)-(AP17*60/AT2)-(AQ17*60/AT2))</f>
        <v>211.76470588235293</v>
      </c>
      <c r="G17" s="300">
        <f>IF(F17=0,0,G16+F17)</f>
        <v>1674.4705882352939</v>
      </c>
      <c r="H17" s="304">
        <f>VALUE(hourlyJava!E18)</f>
        <v>220</v>
      </c>
      <c r="I17" s="304">
        <f>IF(H16=0,0,I16+H17)</f>
        <v>1752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hourlyJava!F18</f>
        <v>0001180603/15</v>
      </c>
      <c r="AL17" s="247">
        <f>VALUE(hourlyJava!G18)</f>
        <v>0</v>
      </c>
      <c r="AM17" s="278"/>
      <c r="AN17" s="247">
        <f>VALUE(hourlyJava!H18)</f>
        <v>0</v>
      </c>
      <c r="AO17" s="249">
        <f>VALUE(hourlyJava!I18)</f>
        <v>0</v>
      </c>
      <c r="AP17" s="249">
        <f>VALUE(hourlyJava!J18)</f>
        <v>0</v>
      </c>
      <c r="AQ17" s="249">
        <f>VALUE(hourlyJava!K18)</f>
        <v>0</v>
      </c>
      <c r="AR17" s="523" t="str">
        <f>hourlyJava!L18</f>
        <v xml:space="preserve">
</v>
      </c>
      <c r="AS17" s="524"/>
      <c r="AT17" s="293" t="str">
        <f>hourlyJava!M18</f>
        <v xml:space="preserve">
</v>
      </c>
      <c r="AU17" s="296" t="str">
        <f>hourlyJava!N18</f>
        <v xml:space="preserve">
</v>
      </c>
      <c r="AV17" s="500" t="str">
        <f>hourlyJava!O18</f>
        <v xml:space="preserve">
</v>
      </c>
      <c r="AW17" s="500"/>
      <c r="AX17" s="183">
        <f t="shared" si="1"/>
        <v>103.8888888888889</v>
      </c>
      <c r="AY17" s="184">
        <f>I17/SUM(D7:D17)*100</f>
        <v>85.58620689655173</v>
      </c>
      <c r="BA17" s="289">
        <f>$I17/SUM($D$7:$D17)*100</f>
        <v>85.58620689655173</v>
      </c>
      <c r="BB17" s="290">
        <f t="shared" si="2"/>
        <v>158.8235294117647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2258.8235294117649</v>
      </c>
      <c r="F18" s="223">
        <f>IF(SUM(AL18:AQ18)=0,$D18,SUM(D18-AL18-AM18)-(AN18*60/AT2)-(AO18*60/AT2)-(AP18*60/AT2)-(AQ18*60/AT2))</f>
        <v>42.35294117647058</v>
      </c>
      <c r="G18" s="300">
        <f t="shared" si="4"/>
        <v>1716.8235294117644</v>
      </c>
      <c r="H18" s="304">
        <f>VALUE(hourlyJava!E19)</f>
        <v>48</v>
      </c>
      <c r="I18" s="304">
        <f t="shared" si="5"/>
        <v>1800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2" t="str">
        <f>hourlyJava!F19</f>
        <v>0001180603/15</v>
      </c>
      <c r="AL18" s="247">
        <f>VALUE(hourlyJava!G19)</f>
        <v>0</v>
      </c>
      <c r="AM18" s="278"/>
      <c r="AN18" s="247">
        <f>VALUE(hourlyJava!H19)</f>
        <v>0</v>
      </c>
      <c r="AO18" s="249">
        <f>VALUE(hourlyJava!I19)</f>
        <v>48</v>
      </c>
      <c r="AP18" s="249">
        <f>VALUE(hourlyJava!J19)</f>
        <v>0</v>
      </c>
      <c r="AQ18" s="249">
        <f>VALUE(hourlyJava!K19)</f>
        <v>0</v>
      </c>
      <c r="AR18" s="523" t="str">
        <f>hourlyJava!L19</f>
        <v xml:space="preserve">
</v>
      </c>
      <c r="AS18" s="524"/>
      <c r="AT18" s="293" t="str">
        <f>hourlyJava!M19</f>
        <v xml:space="preserve">
</v>
      </c>
      <c r="AU18" s="296" t="str">
        <f>hourlyJava!N19</f>
        <v xml:space="preserve">
1040
</v>
      </c>
      <c r="AV18" s="500" t="str">
        <f>hourlyJava!O19</f>
        <v xml:space="preserve">
Ajuste de camara STN 1040
</v>
      </c>
      <c r="AW18" s="500"/>
      <c r="AX18" s="183">
        <f t="shared" si="1"/>
        <v>22.666666666666668</v>
      </c>
      <c r="AY18" s="184">
        <f>I18/SUM(D7:D18)*100</f>
        <v>79.687499999999986</v>
      </c>
      <c r="BA18" s="289">
        <f>$I18/SUM($D$7:$D18)*100</f>
        <v>79.687499999999986</v>
      </c>
      <c r="BB18" s="290">
        <f t="shared" si="2"/>
        <v>158.8235294117647</v>
      </c>
      <c r="BC18" s="280"/>
      <c r="BD18" s="235"/>
      <c r="BE18" s="235"/>
    </row>
    <row r="19" spans="2:57" ht="18" customHeight="1" thickBot="1">
      <c r="B19" s="428" t="s">
        <v>31</v>
      </c>
      <c r="C19" s="242">
        <v>60</v>
      </c>
      <c r="D19" s="224">
        <f t="shared" si="0"/>
        <v>211.76470588235293</v>
      </c>
      <c r="E19" s="225">
        <f>E18+D19</f>
        <v>2470.588235294118</v>
      </c>
      <c r="F19" s="223">
        <f>IF(SUM(AL19:AQ19)=0,$D19,SUM(D19-AL19-AM19)-(AN19*60/AT2)-(AO19*60/AT2)-(AP19*60/AT2)-(AQ19*60/AT2))</f>
        <v>158.8235294117647</v>
      </c>
      <c r="G19" s="300">
        <f>IF(F19=0,0,G18+F19)</f>
        <v>1875.6470588235291</v>
      </c>
      <c r="H19" s="304">
        <f>VALUE(hourlyJava!E20)</f>
        <v>178</v>
      </c>
      <c r="I19" s="304">
        <f>IF(H19=0,0,I18+H19)</f>
        <v>1978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2" t="str">
        <f>hourlyJava!F20</f>
        <v>0001180603/15</v>
      </c>
      <c r="AL19" s="247">
        <f>VALUE(hourlyJava!G20)</f>
        <v>0</v>
      </c>
      <c r="AM19" s="278"/>
      <c r="AN19" s="247">
        <f>VALUE(hourlyJava!H20)</f>
        <v>15</v>
      </c>
      <c r="AO19" s="249">
        <f>VALUE(hourlyJava!I20)</f>
        <v>0</v>
      </c>
      <c r="AP19" s="249">
        <f>VALUE(hourlyJava!J20)</f>
        <v>0</v>
      </c>
      <c r="AQ19" s="249">
        <f>VALUE(hourlyJava!K20)</f>
        <v>0</v>
      </c>
      <c r="AR19" s="523" t="str">
        <f>hourlyJava!L20</f>
        <v xml:space="preserve">
L003</v>
      </c>
      <c r="AS19" s="524"/>
      <c r="AT19" s="293" t="str">
        <f>hourlyJava!M20</f>
        <v xml:space="preserve">
FORD-0001180603 a AUDI-0001172403</v>
      </c>
      <c r="AU19" s="296" t="str">
        <f>hourlyJava!N20</f>
        <v xml:space="preserve">
</v>
      </c>
      <c r="AV19" s="500" t="str">
        <f>hourlyJava!O20</f>
        <v xml:space="preserve">
</v>
      </c>
      <c r="AW19" s="500"/>
      <c r="AX19" s="183">
        <f t="shared" si="1"/>
        <v>84.055555555555557</v>
      </c>
      <c r="AY19" s="184">
        <f>I19/SUM(D7:D19)*100</f>
        <v>80.061904761904742</v>
      </c>
      <c r="BA19" s="289">
        <f>$I19/SUM($D$7:$D19)*100</f>
        <v>80.061904761904742</v>
      </c>
      <c r="BB19" s="290">
        <f t="shared" si="2"/>
        <v>158.8235294117647</v>
      </c>
      <c r="BC19" s="279"/>
    </row>
    <row r="20" spans="2:57" ht="18" customHeight="1" thickBot="1">
      <c r="B20" s="474" t="s">
        <v>36</v>
      </c>
      <c r="C20" s="475"/>
      <c r="D20" s="233" t="s">
        <v>26</v>
      </c>
      <c r="E20" s="377">
        <f>SUM(D14:D19)</f>
        <v>1235.2941176470588</v>
      </c>
      <c r="F20" s="469">
        <f>SUM(G14:G19)</f>
        <v>9111.5294117647045</v>
      </c>
      <c r="G20" s="470"/>
      <c r="H20" s="527">
        <f>SUM(H14:H19)</f>
        <v>940</v>
      </c>
      <c r="I20" s="528"/>
      <c r="J20" s="466"/>
      <c r="K20" s="467"/>
      <c r="L20" s="467"/>
      <c r="M20" s="467"/>
      <c r="N20" s="467"/>
      <c r="O20" s="467"/>
      <c r="P20" s="467"/>
      <c r="Q20" s="467"/>
      <c r="R20" s="467"/>
      <c r="S20" s="467"/>
      <c r="T20" s="467"/>
      <c r="U20" s="467"/>
      <c r="V20" s="467"/>
      <c r="W20" s="467"/>
      <c r="X20" s="467"/>
      <c r="Y20" s="467"/>
      <c r="Z20" s="467"/>
      <c r="AA20" s="467"/>
      <c r="AB20" s="467"/>
      <c r="AC20" s="467"/>
      <c r="AD20" s="467"/>
      <c r="AE20" s="467"/>
      <c r="AF20" s="467"/>
      <c r="AG20" s="467"/>
      <c r="AH20" s="467"/>
      <c r="AI20" s="467"/>
      <c r="AJ20" s="468"/>
      <c r="AK20" s="206"/>
      <c r="AL20" s="381">
        <f t="shared" ref="AL20:AQ20" si="7">SUM(AL14:AL19)</f>
        <v>0</v>
      </c>
      <c r="AM20" s="387">
        <f t="shared" si="7"/>
        <v>0</v>
      </c>
      <c r="AN20" s="207">
        <f t="shared" si="7"/>
        <v>15</v>
      </c>
      <c r="AO20" s="208">
        <f t="shared" si="7"/>
        <v>64</v>
      </c>
      <c r="AP20" s="209">
        <f t="shared" si="7"/>
        <v>0</v>
      </c>
      <c r="AQ20" s="209">
        <f t="shared" si="7"/>
        <v>0</v>
      </c>
      <c r="AR20" s="210"/>
      <c r="AS20" s="211"/>
      <c r="AT20" s="212"/>
      <c r="AU20" s="213"/>
      <c r="AV20" s="511"/>
      <c r="AW20" s="511"/>
      <c r="AX20" s="207" t="s">
        <v>36</v>
      </c>
      <c r="AY20" s="260">
        <f>IF(AY19&lt;&gt;0,AY19,IF(AY18&lt;&gt;0,AY18,IF(AY17&lt;&gt;0,AY17,IF(AY16&lt;&gt;0,AY16,IF(AY15&lt;&gt;0,AY15,IF(AY13&lt;&gt;0,AY13,IF(AY12&lt;&gt;0,AY12,IF(#REF!&lt;&gt;0,#REF!,IF(AY10&lt;&gt;0,AY10,IF(AY9&lt;&gt;0,AY9,IF(AY8&lt;&gt;0,AY8,IF(AY6=0,AX6,IF(AY6&lt;&gt;0,AY6)))))))))))))/100</f>
        <v>0.80061904761904745</v>
      </c>
      <c r="BA20" s="289"/>
      <c r="BC20" s="279"/>
    </row>
    <row r="21" spans="2:57" ht="18" customHeight="1" thickBot="1">
      <c r="B21" s="281" t="s">
        <v>32</v>
      </c>
      <c r="C21" s="244">
        <v>50</v>
      </c>
      <c r="D21" s="226">
        <f>SUM($C21*60)/$AT$2</f>
        <v>176.47058823529412</v>
      </c>
      <c r="E21" s="227">
        <f>D21</f>
        <v>176.47058823529412</v>
      </c>
      <c r="F21" s="223">
        <f>IF(SUM(AL21:AQ21)=0,$D21,SUM(D21-AL21-AM21)-(AN21*60/AT2)-(AO21*60/AT2)-(AP21*60/AT2)-(AQ21*60/AT2))</f>
        <v>123.52941176470588</v>
      </c>
      <c r="G21" s="299">
        <f>F21</f>
        <v>123.52941176470588</v>
      </c>
      <c r="H21" s="305">
        <f>VALUE(hourlyJava!E21)</f>
        <v>180</v>
      </c>
      <c r="I21" s="304">
        <f>IF(H21=0,0,I19+H21)</f>
        <v>2158</v>
      </c>
      <c r="J21" s="199"/>
      <c r="K21" s="197"/>
      <c r="L21" s="198"/>
      <c r="M21" s="197"/>
      <c r="N21" s="198"/>
      <c r="O21" s="197"/>
      <c r="P21" s="198"/>
      <c r="Q21" s="197"/>
      <c r="R21" s="198"/>
      <c r="S21" s="197"/>
      <c r="T21" s="198"/>
      <c r="U21" s="197"/>
      <c r="V21" s="198"/>
      <c r="W21" s="197"/>
      <c r="X21" s="198"/>
      <c r="Y21" s="197"/>
      <c r="Z21" s="198"/>
      <c r="AA21" s="197"/>
      <c r="AB21" s="198"/>
      <c r="AC21" s="197"/>
      <c r="AD21" s="199"/>
      <c r="AE21" s="197"/>
      <c r="AF21" s="198"/>
      <c r="AG21" s="197"/>
      <c r="AH21" s="198"/>
      <c r="AI21" s="197"/>
      <c r="AJ21" s="200"/>
      <c r="AK21" s="294" t="str">
        <f>hourlyJava!F21</f>
        <v>0001172403/15</v>
      </c>
      <c r="AL21" s="247">
        <f>VALUE(hourlyJava!G21)</f>
        <v>0</v>
      </c>
      <c r="AM21" s="278"/>
      <c r="AN21" s="247">
        <f>VALUE(hourlyJava!H21)</f>
        <v>15</v>
      </c>
      <c r="AO21" s="247">
        <f>VALUE(hourlyJava!I21)</f>
        <v>0</v>
      </c>
      <c r="AP21" s="247">
        <f>VALUE(hourlyJava!J21)</f>
        <v>0</v>
      </c>
      <c r="AQ21" s="247">
        <f>VALUE(hourlyJava!K21)</f>
        <v>0</v>
      </c>
      <c r="AR21" s="521" t="str">
        <f>hourlyJava!L21</f>
        <v xml:space="preserve">
L003</v>
      </c>
      <c r="AS21" s="522"/>
      <c r="AT21" s="295" t="str">
        <f>hourlyJava!M21</f>
        <v xml:space="preserve">
FORD-0001180603 a AUDI-0001172403</v>
      </c>
      <c r="AU21" s="297" t="str">
        <f>hourlyJava!N21</f>
        <v xml:space="preserve">
</v>
      </c>
      <c r="AV21" s="510" t="str">
        <f>hourlyJava!O21</f>
        <v xml:space="preserve">
</v>
      </c>
      <c r="AW21" s="510"/>
      <c r="AX21" s="221">
        <f t="shared" ref="AX21:AX26" si="8">IF(H21=0, 0, H7/D21*100)</f>
        <v>121.83333333333333</v>
      </c>
      <c r="AY21" s="222">
        <f>AX21</f>
        <v>121.83333333333333</v>
      </c>
      <c r="BA21" s="289" t="e">
        <f>IF(H21&gt;0,SUM(#REF!+I21)/(#REF!+D21))*100</f>
        <v>#REF!</v>
      </c>
      <c r="BB21" s="290">
        <f>D21*$AX$3</f>
        <v>132.35294117647058</v>
      </c>
      <c r="BC21" s="279"/>
    </row>
    <row r="22" spans="2:57" ht="18" customHeight="1" thickBot="1">
      <c r="B22" s="282" t="s">
        <v>33</v>
      </c>
      <c r="C22" s="245">
        <v>60</v>
      </c>
      <c r="D22" s="226">
        <f t="shared" ref="D22:D33" si="9">SUM($C22*60)/$AT$2</f>
        <v>211.76470588235293</v>
      </c>
      <c r="E22" s="225">
        <f t="shared" ref="E22:E32" si="10">E21+D22</f>
        <v>388.23529411764707</v>
      </c>
      <c r="F22" s="223">
        <f>IF(SUM(AL22:AQ22)=0,$D22,SUM(D22-AL22-AM22)-(AN22*60/AT2)-(AO22*60/AT2)-(AP22*60/AT2)-(AQ22*60/AT2))</f>
        <v>211.76470588235293</v>
      </c>
      <c r="G22" s="300">
        <f>IF(F22=0,0,G21+F22)</f>
        <v>335.29411764705878</v>
      </c>
      <c r="H22" s="305">
        <f>VALUE(hourlyJava!E22)</f>
        <v>100</v>
      </c>
      <c r="I22" s="304">
        <f t="shared" si="5"/>
        <v>2258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62"/>
      <c r="Y22" s="61"/>
      <c r="Z22" s="62"/>
      <c r="AA22" s="61"/>
      <c r="AB22" s="62"/>
      <c r="AC22" s="61"/>
      <c r="AD22" s="147"/>
      <c r="AE22" s="61"/>
      <c r="AF22" s="62"/>
      <c r="AG22" s="61"/>
      <c r="AH22" s="62"/>
      <c r="AI22" s="61"/>
      <c r="AJ22" s="59"/>
      <c r="AK22" s="294" t="str">
        <f>hourlyJava!F22</f>
        <v>0001172403/15</v>
      </c>
      <c r="AL22" s="247">
        <f>VALUE(hourlyJava!G22)</f>
        <v>0</v>
      </c>
      <c r="AM22" s="278"/>
      <c r="AN22" s="247">
        <f>VALUE(hourlyJava!H22)</f>
        <v>0</v>
      </c>
      <c r="AO22" s="247">
        <f>VALUE(hourlyJava!I22)</f>
        <v>0</v>
      </c>
      <c r="AP22" s="247">
        <f>VALUE(hourlyJava!J22)</f>
        <v>0</v>
      </c>
      <c r="AQ22" s="247">
        <f>VALUE(hourlyJava!K22)</f>
        <v>0</v>
      </c>
      <c r="AR22" s="521" t="str">
        <f>hourlyJava!L22</f>
        <v xml:space="preserve">
</v>
      </c>
      <c r="AS22" s="522"/>
      <c r="AT22" s="295" t="str">
        <f>hourlyJava!M22</f>
        <v xml:space="preserve">
</v>
      </c>
      <c r="AU22" s="297" t="str">
        <f>hourlyJava!N22</f>
        <v xml:space="preserve">
</v>
      </c>
      <c r="AV22" s="510" t="str">
        <f>hourlyJava!O22</f>
        <v xml:space="preserve">
</v>
      </c>
      <c r="AW22" s="510"/>
      <c r="AX22" s="221">
        <f t="shared" si="8"/>
        <v>108.61111111111113</v>
      </c>
      <c r="AY22" s="184">
        <f>I22/SUM(D21:D22)*100</f>
        <v>581.60606060606051</v>
      </c>
      <c r="BA22" s="289" t="e">
        <f>IF(H22&gt;0,SUM(#REF!+I22)/(#REF!+E22))*100</f>
        <v>#REF!</v>
      </c>
      <c r="BB22" s="290">
        <f t="shared" ref="BB22:BB33" si="11">D22*$AX$3</f>
        <v>158.8235294117647</v>
      </c>
      <c r="BC22" s="279"/>
    </row>
    <row r="23" spans="2:57" ht="18" customHeight="1" thickBot="1">
      <c r="B23" s="283" t="s">
        <v>34</v>
      </c>
      <c r="C23" s="246">
        <v>60</v>
      </c>
      <c r="D23" s="226">
        <f t="shared" si="9"/>
        <v>211.76470588235293</v>
      </c>
      <c r="E23" s="225">
        <f t="shared" si="10"/>
        <v>600</v>
      </c>
      <c r="F23" s="223">
        <f>IF(SUM(AL23:AQ23)=0,$D23,SUM(D23-AL23-AM23)-(AN23*60/AT2)-(AO23*60/AT2)-(AP23*60/AT2)-(AQ23*60/AT2))</f>
        <v>211.76470588235293</v>
      </c>
      <c r="G23" s="300">
        <f t="shared" ref="G23:G32" si="12">IF(F23=0,0,G22+F23)</f>
        <v>547.05882352941171</v>
      </c>
      <c r="H23" s="305">
        <f>VALUE(hourlyJava!E23)</f>
        <v>220</v>
      </c>
      <c r="I23" s="304">
        <f t="shared" si="5"/>
        <v>2478</v>
      </c>
      <c r="J23" s="147"/>
      <c r="K23" s="61"/>
      <c r="L23" s="62"/>
      <c r="M23" s="61"/>
      <c r="N23" s="62"/>
      <c r="O23" s="61"/>
      <c r="P23" s="62"/>
      <c r="Q23" s="61"/>
      <c r="R23" s="62"/>
      <c r="S23" s="61"/>
      <c r="T23" s="62"/>
      <c r="U23" s="61"/>
      <c r="V23" s="62"/>
      <c r="W23" s="61"/>
      <c r="X23" s="43"/>
      <c r="Y23" s="42"/>
      <c r="Z23" s="43"/>
      <c r="AA23" s="42"/>
      <c r="AB23" s="43"/>
      <c r="AC23" s="42"/>
      <c r="AD23" s="43"/>
      <c r="AE23" s="61"/>
      <c r="AF23" s="62"/>
      <c r="AG23" s="61"/>
      <c r="AH23" s="62"/>
      <c r="AI23" s="61"/>
      <c r="AJ23" s="59"/>
      <c r="AK23" s="294" t="str">
        <f>hourlyJava!F23</f>
        <v>0001172403/15</v>
      </c>
      <c r="AL23" s="247">
        <f>VALUE(hourlyJava!G23)</f>
        <v>0</v>
      </c>
      <c r="AM23" s="278"/>
      <c r="AN23" s="247">
        <f>VALUE(hourlyJava!H23)</f>
        <v>0</v>
      </c>
      <c r="AO23" s="247">
        <f>VALUE(hourlyJava!I23)</f>
        <v>0</v>
      </c>
      <c r="AP23" s="247">
        <f>VALUE(hourlyJava!J23)</f>
        <v>0</v>
      </c>
      <c r="AQ23" s="247">
        <f>VALUE(hourlyJava!K23)</f>
        <v>0</v>
      </c>
      <c r="AR23" s="521" t="str">
        <f>hourlyJava!L23</f>
        <v xml:space="preserve">
</v>
      </c>
      <c r="AS23" s="522"/>
      <c r="AT23" s="295" t="str">
        <f>hourlyJava!M23</f>
        <v xml:space="preserve">
</v>
      </c>
      <c r="AU23" s="297" t="str">
        <f>hourlyJava!N23</f>
        <v xml:space="preserve">
</v>
      </c>
      <c r="AV23" s="510" t="str">
        <f>hourlyJava!O23</f>
        <v xml:space="preserve">
</v>
      </c>
      <c r="AW23" s="510"/>
      <c r="AX23" s="221">
        <f t="shared" si="8"/>
        <v>52.8888888888889</v>
      </c>
      <c r="AY23" s="184">
        <f>I23/SUM(D21:D23)*100</f>
        <v>413</v>
      </c>
      <c r="BA23" s="289" t="e">
        <f>IF(H23&gt;0,SUM(#REF!+I23)/(#REF!+E23))*100</f>
        <v>#REF!</v>
      </c>
      <c r="BB23" s="290">
        <f t="shared" si="11"/>
        <v>158.8235294117647</v>
      </c>
      <c r="BC23" s="279"/>
    </row>
    <row r="24" spans="2:57" ht="18" customHeight="1" thickBot="1">
      <c r="B24" s="175" t="s">
        <v>35</v>
      </c>
      <c r="C24" s="242">
        <v>60</v>
      </c>
      <c r="D24" s="226">
        <f t="shared" si="9"/>
        <v>211.76470588235293</v>
      </c>
      <c r="E24" s="225">
        <f t="shared" si="10"/>
        <v>811.76470588235293</v>
      </c>
      <c r="F24" s="223">
        <f>IF(SUM(AL24:AQ24)=0,$D24,SUM(D24-AL24-AM24)-(AN24*60/AT2)-(AO24*60/AT2)-(AP24*60/AT2)-(AQ24*60/AT2))</f>
        <v>211.76470588235293</v>
      </c>
      <c r="G24" s="300">
        <f t="shared" si="12"/>
        <v>758.82352941176464</v>
      </c>
      <c r="H24" s="305">
        <f>VALUE(hourlyJava!E24)</f>
        <v>85</v>
      </c>
      <c r="I24" s="304">
        <f t="shared" si="5"/>
        <v>2563</v>
      </c>
      <c r="J24" s="420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20"/>
      <c r="AE24" s="37"/>
      <c r="AF24" s="38"/>
      <c r="AG24" s="37"/>
      <c r="AH24" s="38"/>
      <c r="AI24" s="37"/>
      <c r="AJ24" s="22"/>
      <c r="AK24" s="294" t="str">
        <f>hourlyJava!F24</f>
        <v>0001172403/15</v>
      </c>
      <c r="AL24" s="247">
        <f>VALUE(hourlyJava!G24)</f>
        <v>0</v>
      </c>
      <c r="AM24" s="278"/>
      <c r="AN24" s="247">
        <f>VALUE(hourlyJava!H24)</f>
        <v>0</v>
      </c>
      <c r="AO24" s="247">
        <f>VALUE(hourlyJava!I24)</f>
        <v>0</v>
      </c>
      <c r="AP24" s="247">
        <f>VALUE(hourlyJava!J24)</f>
        <v>0</v>
      </c>
      <c r="AQ24" s="247">
        <f>VALUE(hourlyJava!K24)</f>
        <v>0</v>
      </c>
      <c r="AR24" s="521" t="str">
        <f>hourlyJava!L24</f>
        <v xml:space="preserve">
</v>
      </c>
      <c r="AS24" s="522"/>
      <c r="AT24" s="295" t="str">
        <f>hourlyJava!M24</f>
        <v xml:space="preserve">
</v>
      </c>
      <c r="AU24" s="297" t="str">
        <f>hourlyJava!N24</f>
        <v xml:space="preserve">
</v>
      </c>
      <c r="AV24" s="510" t="str">
        <f>hourlyJava!O24</f>
        <v xml:space="preserve">
</v>
      </c>
      <c r="AW24" s="510"/>
      <c r="AX24" s="221">
        <f t="shared" si="8"/>
        <v>94.444444444444457</v>
      </c>
      <c r="AY24" s="184">
        <f>I24/SUM(D21:D24)*100</f>
        <v>315.73188405797106</v>
      </c>
      <c r="BA24" s="289" t="e">
        <f>IF(H24&gt;0,SUM(#REF!+I24)/(#REF!+E24))*100</f>
        <v>#REF!</v>
      </c>
      <c r="BB24" s="290">
        <f t="shared" si="11"/>
        <v>158.8235294117647</v>
      </c>
      <c r="BC24" s="279"/>
    </row>
    <row r="25" spans="2:57" ht="16.5" customHeight="1" thickBot="1">
      <c r="B25" s="175" t="s">
        <v>37</v>
      </c>
      <c r="C25" s="242">
        <v>60</v>
      </c>
      <c r="D25" s="226">
        <f t="shared" si="9"/>
        <v>211.76470588235293</v>
      </c>
      <c r="E25" s="225">
        <f t="shared" si="10"/>
        <v>1023.5294117647059</v>
      </c>
      <c r="F25" s="223">
        <f>IF(SUM(AL25:AQ25)=0,$D25,SUM(D25-AL25-AM25)-(AN25*60/AT2)-(AO25*60/AT2)-(AP25*60/AT2)-(AQ25*60/AT2))</f>
        <v>105.88235294117646</v>
      </c>
      <c r="G25" s="300">
        <f t="shared" si="12"/>
        <v>864.7058823529411</v>
      </c>
      <c r="H25" s="305">
        <f>VALUE(hourlyJava!E25)</f>
        <v>100</v>
      </c>
      <c r="I25" s="304">
        <f t="shared" si="5"/>
        <v>2663</v>
      </c>
      <c r="J25" s="420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420"/>
      <c r="AE25" s="37"/>
      <c r="AF25" s="38"/>
      <c r="AG25" s="37"/>
      <c r="AH25" s="38"/>
      <c r="AI25" s="37"/>
      <c r="AJ25" s="22"/>
      <c r="AK25" s="294" t="str">
        <f>hourlyJava!F25</f>
        <v>0001172403/15</v>
      </c>
      <c r="AL25" s="247">
        <f>VALUE(hourlyJava!G25)</f>
        <v>0</v>
      </c>
      <c r="AM25" s="278"/>
      <c r="AN25" s="247">
        <f>VALUE(hourlyJava!H25)</f>
        <v>30</v>
      </c>
      <c r="AO25" s="247">
        <f>VALUE(hourlyJava!I25)</f>
        <v>0</v>
      </c>
      <c r="AP25" s="247">
        <f>VALUE(hourlyJava!J25)</f>
        <v>0</v>
      </c>
      <c r="AQ25" s="247">
        <f>VALUE(hourlyJava!K25)</f>
        <v>0</v>
      </c>
      <c r="AR25" s="521" t="str">
        <f>hourlyJava!L25</f>
        <v xml:space="preserve">
L003</v>
      </c>
      <c r="AS25" s="522"/>
      <c r="AT25" s="295" t="str">
        <f>hourlyJava!M25</f>
        <v xml:space="preserve">
AUDI-0001172403 a VW-0001179517</v>
      </c>
      <c r="AU25" s="297" t="str">
        <f>hourlyJava!N25</f>
        <v xml:space="preserve">
</v>
      </c>
      <c r="AV25" s="510" t="str">
        <f>hourlyJava!O25</f>
        <v xml:space="preserve">
</v>
      </c>
      <c r="AW25" s="510"/>
      <c r="AX25" s="221">
        <f t="shared" si="8"/>
        <v>101.5277777777778</v>
      </c>
      <c r="AY25" s="184">
        <f>I25/SUM(D21:D25)*100</f>
        <v>260.17816091954023</v>
      </c>
      <c r="BA25" s="289" t="e">
        <f>IF(H25&gt;0,SUM(#REF!+I25)/(#REF!+E25))*100</f>
        <v>#REF!</v>
      </c>
      <c r="BB25" s="290">
        <f t="shared" si="11"/>
        <v>158.8235294117647</v>
      </c>
      <c r="BC25" s="279"/>
    </row>
    <row r="26" spans="2:57" ht="18" customHeight="1" thickBot="1">
      <c r="B26" s="175" t="s">
        <v>38</v>
      </c>
      <c r="C26" s="242">
        <v>60</v>
      </c>
      <c r="D26" s="226">
        <f t="shared" si="9"/>
        <v>211.76470588235293</v>
      </c>
      <c r="E26" s="225">
        <f>E25+D26</f>
        <v>1235.2941176470588</v>
      </c>
      <c r="F26" s="223">
        <f>IF(SUM(AL26:AQ26)=0,$D26,SUM(D26-AL26-AM26)-(AN26*60/AT2)-(AO26*60/AT2)-(AP26*60/AT2)-(AQ26*60/AT2))</f>
        <v>211.76470588235293</v>
      </c>
      <c r="G26" s="300">
        <f>IF(F26=0,0,G25+F26)</f>
        <v>1076.4705882352941</v>
      </c>
      <c r="H26" s="305">
        <f>VALUE(hourlyJava!E26)</f>
        <v>155</v>
      </c>
      <c r="I26" s="306">
        <f>IF(H25=0,0,H26+I25)</f>
        <v>2818</v>
      </c>
      <c r="J26" s="420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20"/>
      <c r="AE26" s="37"/>
      <c r="AF26" s="38"/>
      <c r="AG26" s="37"/>
      <c r="AH26" s="38"/>
      <c r="AI26" s="37"/>
      <c r="AJ26" s="22"/>
      <c r="AK26" s="294" t="str">
        <f>hourlyJava!F26</f>
        <v>0001179517/15</v>
      </c>
      <c r="AL26" s="247">
        <f>VALUE(hourlyJava!G26)</f>
        <v>0</v>
      </c>
      <c r="AM26" s="278"/>
      <c r="AN26" s="247">
        <f>VALUE(hourlyJava!H26)</f>
        <v>0</v>
      </c>
      <c r="AO26" s="247">
        <f>VALUE(hourlyJava!I26)</f>
        <v>0</v>
      </c>
      <c r="AP26" s="247">
        <f>VALUE(hourlyJava!J26)</f>
        <v>0</v>
      </c>
      <c r="AQ26" s="247">
        <f>VALUE(hourlyJava!K26)</f>
        <v>0</v>
      </c>
      <c r="AR26" s="521" t="str">
        <f>hourlyJava!L26</f>
        <v xml:space="preserve">
</v>
      </c>
      <c r="AS26" s="522"/>
      <c r="AT26" s="295" t="str">
        <f>hourlyJava!M26</f>
        <v xml:space="preserve">
</v>
      </c>
      <c r="AU26" s="297" t="str">
        <f>hourlyJava!N26</f>
        <v xml:space="preserve">
</v>
      </c>
      <c r="AV26" s="510" t="str">
        <f>hourlyJava!O26</f>
        <v xml:space="preserve">
</v>
      </c>
      <c r="AW26" s="510"/>
      <c r="AX26" s="221">
        <f t="shared" si="8"/>
        <v>31.166666666666671</v>
      </c>
      <c r="AY26" s="184">
        <f>I26/SUM(D21:D26)*100</f>
        <v>228.12380952380954</v>
      </c>
      <c r="BA26" s="289" t="e">
        <f>IF(H26&gt;0,SUM(#REF!+I26)/(#REF!+E26))*100</f>
        <v>#REF!</v>
      </c>
      <c r="BB26" s="290">
        <f t="shared" si="11"/>
        <v>158.8235294117647</v>
      </c>
      <c r="BC26" s="279"/>
    </row>
    <row r="27" spans="2:57" ht="18" customHeight="1" thickBot="1">
      <c r="B27" s="474" t="s">
        <v>45</v>
      </c>
      <c r="C27" s="475"/>
      <c r="D27" s="233" t="s">
        <v>26</v>
      </c>
      <c r="E27" s="377">
        <f>SUM(D21:D26)</f>
        <v>1235.2941176470588</v>
      </c>
      <c r="F27" s="469">
        <f>SUM(G21:G26)</f>
        <v>3705.8823529411761</v>
      </c>
      <c r="G27" s="470"/>
      <c r="H27" s="527">
        <f>SUM(H21:H26)</f>
        <v>840</v>
      </c>
      <c r="I27" s="528"/>
      <c r="J27" s="466"/>
      <c r="K27" s="467"/>
      <c r="L27" s="467"/>
      <c r="M27" s="467"/>
      <c r="N27" s="467"/>
      <c r="O27" s="467"/>
      <c r="P27" s="467"/>
      <c r="Q27" s="467"/>
      <c r="R27" s="467"/>
      <c r="S27" s="467"/>
      <c r="T27" s="467"/>
      <c r="U27" s="467"/>
      <c r="V27" s="467"/>
      <c r="W27" s="467"/>
      <c r="X27" s="467"/>
      <c r="Y27" s="467"/>
      <c r="Z27" s="467"/>
      <c r="AA27" s="467"/>
      <c r="AB27" s="467"/>
      <c r="AC27" s="467"/>
      <c r="AD27" s="467"/>
      <c r="AE27" s="467"/>
      <c r="AF27" s="467"/>
      <c r="AG27" s="467"/>
      <c r="AH27" s="467"/>
      <c r="AI27" s="467"/>
      <c r="AJ27" s="468"/>
      <c r="AK27" s="206"/>
      <c r="AL27" s="381">
        <f t="shared" ref="AL27:AQ27" si="13">SUM(AL21:AL26)</f>
        <v>0</v>
      </c>
      <c r="AM27" s="387">
        <f t="shared" si="13"/>
        <v>0</v>
      </c>
      <c r="AN27" s="207">
        <f t="shared" si="13"/>
        <v>45</v>
      </c>
      <c r="AO27" s="208">
        <f t="shared" si="13"/>
        <v>0</v>
      </c>
      <c r="AP27" s="209">
        <f t="shared" si="13"/>
        <v>0</v>
      </c>
      <c r="AQ27" s="209">
        <f t="shared" si="13"/>
        <v>0</v>
      </c>
      <c r="AR27" s="210"/>
      <c r="AS27" s="211"/>
      <c r="AT27" s="212"/>
      <c r="AU27" s="213"/>
      <c r="AV27" s="511"/>
      <c r="AW27" s="511"/>
      <c r="AX27" s="207" t="s">
        <v>45</v>
      </c>
      <c r="AY27" s="260">
        <f>IF(AY26&lt;&gt;0,AY26,IF(AY25&lt;&gt;0,AY25,IF(AY24&lt;&gt;0,AY24,IF(AY23&lt;&gt;0,AY23,IF(AY22&lt;&gt;0,AY22,IF(AY21&lt;&gt;0,AY21,IF(AY19&lt;&gt;0,AY19,IF(AY18&lt;&gt;0,AY18,IF(AY17&lt;&gt;0,AY17,IF(AY16&lt;&gt;0,AY16,IF(AY15&lt;&gt;0,AY15,IF(AY14=0,AX14,IF(AY14&lt;&gt;0,AY14)))))))))))))/100</f>
        <v>2.2812380952380953</v>
      </c>
      <c r="BA27" s="289"/>
      <c r="BC27" s="279"/>
    </row>
    <row r="28" spans="2:57" ht="18" customHeight="1" thickBot="1">
      <c r="B28" s="284" t="s">
        <v>76</v>
      </c>
      <c r="C28" s="242">
        <v>50</v>
      </c>
      <c r="D28" s="226">
        <f t="shared" si="9"/>
        <v>176.47058823529412</v>
      </c>
      <c r="E28" s="225">
        <f>E26+D28</f>
        <v>1411.7647058823529</v>
      </c>
      <c r="F28" s="223">
        <f>IF(SUM(AL28:AQ28)=0,$D28,SUM(D28-AL28-AM28)-(AN28*60/AT2)-(AO28*60/AT2)-(AP28*60/AT2)-(AQ28*60/AT2))</f>
        <v>176.47058823529412</v>
      </c>
      <c r="G28" s="300">
        <f>IF(F28=0,0,G26+F28)</f>
        <v>1252.9411764705883</v>
      </c>
      <c r="H28" s="306">
        <f>VALUE(hourlyJava!E3)</f>
        <v>225</v>
      </c>
      <c r="I28" s="306">
        <f>IF(H28=0,0,I26+H28)</f>
        <v>3043</v>
      </c>
      <c r="J28" s="420"/>
      <c r="K28" s="37"/>
      <c r="L28" s="38"/>
      <c r="M28" s="37"/>
      <c r="N28" s="38"/>
      <c r="O28" s="37"/>
      <c r="P28" s="38"/>
      <c r="Q28" s="37"/>
      <c r="R28" s="38"/>
      <c r="S28" s="37"/>
      <c r="T28" s="145"/>
      <c r="U28" s="42"/>
      <c r="V28" s="43"/>
      <c r="W28" s="42"/>
      <c r="X28" s="43"/>
      <c r="Y28" s="42"/>
      <c r="Z28" s="43"/>
      <c r="AA28" s="42"/>
      <c r="AB28" s="43"/>
      <c r="AC28" s="42"/>
      <c r="AD28" s="38"/>
      <c r="AE28" s="37"/>
      <c r="AF28" s="38"/>
      <c r="AG28" s="37"/>
      <c r="AH28" s="38"/>
      <c r="AI28" s="37"/>
      <c r="AJ28" s="22"/>
      <c r="AK28" s="294" t="str">
        <f>hourlyJava!F3</f>
        <v>0001179517/15</v>
      </c>
      <c r="AL28" s="247">
        <f>VALUE(hourlyJava!G3)</f>
        <v>0</v>
      </c>
      <c r="AM28" s="278"/>
      <c r="AN28" s="247">
        <f>VALUE(hourlyJava!H3)</f>
        <v>0</v>
      </c>
      <c r="AO28" s="247">
        <f>VALUE(hourlyJava!I3)</f>
        <v>0</v>
      </c>
      <c r="AP28" s="247">
        <f>VALUE(hourlyJava!J3)</f>
        <v>0</v>
      </c>
      <c r="AQ28" s="247">
        <f>VALUE(hourlyJava!K3)</f>
        <v>0</v>
      </c>
      <c r="AR28" s="521" t="str">
        <f>hourlyJava!L3</f>
        <v xml:space="preserve">
</v>
      </c>
      <c r="AS28" s="522"/>
      <c r="AT28" s="295" t="str">
        <f>hourlyJava!M3</f>
        <v xml:space="preserve">
</v>
      </c>
      <c r="AU28" s="297" t="str">
        <f>hourlyJava!N3</f>
        <v xml:space="preserve">
</v>
      </c>
      <c r="AV28" s="510" t="str">
        <f>hourlyJava!O3</f>
        <v xml:space="preserve">
</v>
      </c>
      <c r="AW28" s="510"/>
      <c r="AX28" s="221">
        <f t="shared" ref="AX28:AX33" si="14">IF(H28=0, 0, H14/D28*100)</f>
        <v>68</v>
      </c>
      <c r="AY28" s="184">
        <f>I28/SUM(D21:D28)*100</f>
        <v>215.54583333333332</v>
      </c>
      <c r="BA28" s="289" t="e">
        <f>IF(H28&gt;0,SUM(#REF!+I28)/(#REF!+E28))*100</f>
        <v>#REF!</v>
      </c>
      <c r="BB28" s="290">
        <f t="shared" si="11"/>
        <v>132.35294117647058</v>
      </c>
      <c r="BC28" s="279"/>
    </row>
    <row r="29" spans="2:57" ht="18" customHeight="1" thickBot="1">
      <c r="B29" s="285" t="s">
        <v>77</v>
      </c>
      <c r="C29" s="243">
        <v>60</v>
      </c>
      <c r="D29" s="226">
        <f t="shared" si="9"/>
        <v>211.76470588235293</v>
      </c>
      <c r="E29" s="225">
        <f t="shared" si="10"/>
        <v>1623.5294117647059</v>
      </c>
      <c r="F29" s="223">
        <f>IF(SUM(AL29:AQ29)=0,$D29,SUM(D29-AL29-AM29)-(AN29*60/AT2)-(AO29*60/AT2)-(AP29*60/AT2)-(AQ29*60/AT2))</f>
        <v>211.76470588235293</v>
      </c>
      <c r="G29" s="300">
        <f t="shared" si="12"/>
        <v>1464.7058823529412</v>
      </c>
      <c r="H29" s="306">
        <f>VALUE(hourlyJava!E4)</f>
        <v>220</v>
      </c>
      <c r="I29" s="306">
        <f t="shared" ref="I29:I32" si="15">IF(H29=0,0,I28+H29)</f>
        <v>3263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hourlyJava!F4</f>
        <v>0001179517/15</v>
      </c>
      <c r="AL29" s="247">
        <f>VALUE(hourlyJava!G4)</f>
        <v>0</v>
      </c>
      <c r="AM29" s="278"/>
      <c r="AN29" s="247">
        <f>VALUE(hourlyJava!H4)</f>
        <v>0</v>
      </c>
      <c r="AO29" s="247">
        <f>VALUE(hourlyJava!I4)</f>
        <v>0</v>
      </c>
      <c r="AP29" s="247">
        <f>VALUE(hourlyJava!J4)</f>
        <v>0</v>
      </c>
      <c r="AQ29" s="247">
        <f>VALUE(hourlyJava!K4)</f>
        <v>0</v>
      </c>
      <c r="AR29" s="521" t="str">
        <f>hourlyJava!L4</f>
        <v xml:space="preserve">
</v>
      </c>
      <c r="AS29" s="522"/>
      <c r="AT29" s="295" t="str">
        <f>hourlyJava!M4</f>
        <v xml:space="preserve">
</v>
      </c>
      <c r="AU29" s="297" t="str">
        <f>hourlyJava!N4</f>
        <v xml:space="preserve">
</v>
      </c>
      <c r="AV29" s="510" t="str">
        <f>hourlyJava!O4</f>
        <v xml:space="preserve">
</v>
      </c>
      <c r="AW29" s="510"/>
      <c r="AX29" s="221">
        <f t="shared" si="14"/>
        <v>101.5277777777778</v>
      </c>
      <c r="AY29" s="184">
        <f>I29/SUM(D21:D29)*100</f>
        <v>200.98188405797103</v>
      </c>
      <c r="BA29" s="289" t="e">
        <f>IF(H29&gt;0,SUM(#REF!+I29)/(#REF!+E29))*100</f>
        <v>#REF!</v>
      </c>
      <c r="BB29" s="290">
        <f t="shared" si="11"/>
        <v>158.8235294117647</v>
      </c>
      <c r="BC29" s="279"/>
    </row>
    <row r="30" spans="2:57" ht="18" customHeight="1" thickBot="1">
      <c r="B30" s="285" t="s">
        <v>78</v>
      </c>
      <c r="C30" s="243">
        <v>60</v>
      </c>
      <c r="D30" s="226">
        <f t="shared" si="9"/>
        <v>211.76470588235293</v>
      </c>
      <c r="E30" s="225">
        <f t="shared" si="10"/>
        <v>1835.2941176470588</v>
      </c>
      <c r="F30" s="223">
        <f>IF(SUM(AL30:AQ30)=0,$D30,SUM(D30-AL30-AM30)-(AN30*60/AT2)-(AO30*60/AT2)-(AP30*60/AT2)-(AQ30*60/AT2))</f>
        <v>105.88235294117646</v>
      </c>
      <c r="G30" s="300">
        <f t="shared" si="12"/>
        <v>1570.5882352941176</v>
      </c>
      <c r="H30" s="306">
        <f>VALUE(hourlyJava!E5)</f>
        <v>120</v>
      </c>
      <c r="I30" s="306">
        <f t="shared" si="15"/>
        <v>3383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hourlyJava!F5</f>
        <v>0001179515/15</v>
      </c>
      <c r="AL30" s="247">
        <f>VALUE(hourlyJava!G5)</f>
        <v>0</v>
      </c>
      <c r="AM30" s="278"/>
      <c r="AN30" s="247">
        <f>VALUE(hourlyJava!H5)</f>
        <v>30</v>
      </c>
      <c r="AO30" s="247">
        <f>VALUE(hourlyJava!I5)</f>
        <v>0</v>
      </c>
      <c r="AP30" s="247">
        <f>VALUE(hourlyJava!J5)</f>
        <v>0</v>
      </c>
      <c r="AQ30" s="247">
        <f>VALUE(hourlyJava!K5)</f>
        <v>0</v>
      </c>
      <c r="AR30" s="521" t="str">
        <f>hourlyJava!L5</f>
        <v xml:space="preserve">
L003</v>
      </c>
      <c r="AS30" s="522"/>
      <c r="AT30" s="295" t="str">
        <f>hourlyJava!M5</f>
        <v xml:space="preserve">
VW-0001179517 a VW-0001179515</v>
      </c>
      <c r="AU30" s="297" t="str">
        <f>hourlyJava!N5</f>
        <v xml:space="preserve">
</v>
      </c>
      <c r="AV30" s="510" t="str">
        <f>hourlyJava!O5</f>
        <v xml:space="preserve">
</v>
      </c>
      <c r="AW30" s="510"/>
      <c r="AX30" s="221">
        <f t="shared" si="14"/>
        <v>75.083333333333329</v>
      </c>
      <c r="AY30" s="184">
        <f>I30/SUM(D21:D30)*100</f>
        <v>184.33012820512823</v>
      </c>
      <c r="BA30" s="289" t="e">
        <f>IF(H30&gt;0,SUM(#REF!+I30)/(#REF!+E30))*100</f>
        <v>#REF!</v>
      </c>
      <c r="BB30" s="290">
        <f t="shared" si="11"/>
        <v>158.8235294117647</v>
      </c>
      <c r="BC30" s="279"/>
    </row>
    <row r="31" spans="2:57" ht="18" customHeight="1" thickBot="1">
      <c r="B31" s="285" t="s">
        <v>79</v>
      </c>
      <c r="C31" s="243">
        <v>60</v>
      </c>
      <c r="D31" s="226">
        <f t="shared" si="9"/>
        <v>211.76470588235293</v>
      </c>
      <c r="E31" s="225">
        <f t="shared" si="10"/>
        <v>2047.0588235294117</v>
      </c>
      <c r="F31" s="223">
        <f>IF(SUM(AL31:AQ31)=0,$D31,SUM(D31-AL31-AM31)-(AN31*60/AT2)-(AO31*60/AT2)-(AP31*60/AT2)-(AQ31*60/AT2))</f>
        <v>105.88235294117646</v>
      </c>
      <c r="G31" s="300">
        <f t="shared" si="12"/>
        <v>1676.4705882352941</v>
      </c>
      <c r="H31" s="306">
        <f>VALUE(hourlyJava!E6)</f>
        <v>80</v>
      </c>
      <c r="I31" s="306">
        <f t="shared" si="15"/>
        <v>3463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4" t="str">
        <f>hourlyJava!F6</f>
        <v>0001179519/15</v>
      </c>
      <c r="AL31" s="247">
        <f>VALUE(hourlyJava!G6)</f>
        <v>0</v>
      </c>
      <c r="AM31" s="278"/>
      <c r="AN31" s="247">
        <f>VALUE(hourlyJava!H6)</f>
        <v>30</v>
      </c>
      <c r="AO31" s="247">
        <f>VALUE(hourlyJava!I6)</f>
        <v>0</v>
      </c>
      <c r="AP31" s="247">
        <f>VALUE(hourlyJava!J6)</f>
        <v>0</v>
      </c>
      <c r="AQ31" s="247">
        <f>VALUE(hourlyJava!K6)</f>
        <v>0</v>
      </c>
      <c r="AR31" s="521" t="str">
        <f>hourlyJava!L6</f>
        <v xml:space="preserve">
L003</v>
      </c>
      <c r="AS31" s="522"/>
      <c r="AT31" s="295" t="str">
        <f>hourlyJava!M6</f>
        <v xml:space="preserve">
VW-0001179515 a VW-0001179519</v>
      </c>
      <c r="AU31" s="297" t="str">
        <f>hourlyJava!N6</f>
        <v xml:space="preserve">
</v>
      </c>
      <c r="AV31" s="510" t="str">
        <f>hourlyJava!O6</f>
        <v xml:space="preserve">
</v>
      </c>
      <c r="AW31" s="510"/>
      <c r="AX31" s="221">
        <f t="shared" si="14"/>
        <v>103.8888888888889</v>
      </c>
      <c r="AY31" s="184">
        <f>I31/SUM(D21:D31)*100</f>
        <v>169.16954022988506</v>
      </c>
      <c r="BA31" s="289" t="e">
        <f>IF(H31&gt;0,SUM(#REF!+I31)/(#REF!+E31))*100</f>
        <v>#REF!</v>
      </c>
      <c r="BB31" s="290">
        <f t="shared" si="11"/>
        <v>158.8235294117647</v>
      </c>
      <c r="BC31" s="279"/>
    </row>
    <row r="32" spans="2:57" ht="18" customHeight="1" thickBot="1">
      <c r="B32" s="285" t="s">
        <v>80</v>
      </c>
      <c r="C32" s="243">
        <v>60</v>
      </c>
      <c r="D32" s="226">
        <f t="shared" si="9"/>
        <v>211.76470588235293</v>
      </c>
      <c r="E32" s="225">
        <f t="shared" si="10"/>
        <v>2258.8235294117649</v>
      </c>
      <c r="F32" s="223">
        <f>IF(SUM(AL32:AQ32)=0,$D32,SUM(D32-AL32-AM32)-(AN32*60/AT2)-(AO32*60/AT2)-(AP32*60/AT2)-(AQ32*60/AT2))</f>
        <v>211.76470588235293</v>
      </c>
      <c r="G32" s="300">
        <f t="shared" si="12"/>
        <v>1888.2352941176471</v>
      </c>
      <c r="H32" s="306">
        <f>VALUE(hourlyJava!E7)</f>
        <v>240</v>
      </c>
      <c r="I32" s="306">
        <f t="shared" si="15"/>
        <v>3703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5"/>
      <c r="U32" s="154"/>
      <c r="V32" s="194"/>
      <c r="W32" s="154"/>
      <c r="X32" s="194"/>
      <c r="Y32" s="154"/>
      <c r="Z32" s="194"/>
      <c r="AA32" s="154"/>
      <c r="AB32" s="194"/>
      <c r="AC32" s="192"/>
      <c r="AD32" s="237"/>
      <c r="AE32" s="214"/>
      <c r="AF32" s="144"/>
      <c r="AG32" s="214"/>
      <c r="AH32" s="144"/>
      <c r="AI32" s="214"/>
      <c r="AJ32" s="186"/>
      <c r="AK32" s="294" t="str">
        <f>hourlyJava!F7</f>
        <v>0001179519/15</v>
      </c>
      <c r="AL32" s="247">
        <f>VALUE(hourlyJava!G7)</f>
        <v>0</v>
      </c>
      <c r="AM32" s="278"/>
      <c r="AN32" s="247">
        <f>VALUE(hourlyJava!H7)</f>
        <v>0</v>
      </c>
      <c r="AO32" s="247">
        <f>VALUE(hourlyJava!I7)</f>
        <v>0</v>
      </c>
      <c r="AP32" s="247">
        <f>VALUE(hourlyJava!J7)</f>
        <v>0</v>
      </c>
      <c r="AQ32" s="247">
        <f>VALUE(hourlyJava!K7)</f>
        <v>0</v>
      </c>
      <c r="AR32" s="521" t="str">
        <f>hourlyJava!L7</f>
        <v xml:space="preserve">
</v>
      </c>
      <c r="AS32" s="522"/>
      <c r="AT32" s="295" t="str">
        <f>hourlyJava!M7</f>
        <v xml:space="preserve">
</v>
      </c>
      <c r="AU32" s="297" t="str">
        <f>hourlyJava!N7</f>
        <v xml:space="preserve">
</v>
      </c>
      <c r="AV32" s="510" t="str">
        <f>hourlyJava!O7</f>
        <v xml:space="preserve">
</v>
      </c>
      <c r="AW32" s="510"/>
      <c r="AX32" s="221">
        <f t="shared" si="14"/>
        <v>22.666666666666668</v>
      </c>
      <c r="AY32" s="184">
        <f>I32/SUM(D21:D32)*100</f>
        <v>163.93489583333331</v>
      </c>
      <c r="BA32" s="289" t="e">
        <f>IF(H32&gt;0,SUM(#REF!+I32)/(#REF!+E32))*100</f>
        <v>#REF!</v>
      </c>
      <c r="BB32" s="290">
        <f t="shared" si="11"/>
        <v>158.8235294117647</v>
      </c>
      <c r="BC32" s="279"/>
    </row>
    <row r="33" spans="1:55" ht="18" customHeight="1" thickBot="1">
      <c r="B33" s="285" t="s">
        <v>81</v>
      </c>
      <c r="C33" s="243">
        <v>60</v>
      </c>
      <c r="D33" s="226">
        <f t="shared" si="9"/>
        <v>211.76470588235293</v>
      </c>
      <c r="E33" s="225">
        <f>E32+D33</f>
        <v>2470.588235294118</v>
      </c>
      <c r="F33" s="223">
        <f>IF(SUM(AL33:AQ33)=0,$D33,SUM(D33-AL33-AM33)-(AN33*60/AT2)-(AO33*60/AT2)-(AP33*60/AT2)-(AQ33*60/AT2))</f>
        <v>158.8235294117647</v>
      </c>
      <c r="G33" s="300">
        <f>IF(F33=0,0,G32+F33)</f>
        <v>2047.0588235294117</v>
      </c>
      <c r="H33" s="306">
        <f>VALUE(hourlyJava!E8)</f>
        <v>160</v>
      </c>
      <c r="I33" s="306">
        <f>IF(H33=0,0,I32+H33)</f>
        <v>3863</v>
      </c>
      <c r="J33" s="237"/>
      <c r="K33" s="214"/>
      <c r="L33" s="144"/>
      <c r="M33" s="214"/>
      <c r="N33" s="144"/>
      <c r="O33" s="214"/>
      <c r="P33" s="144"/>
      <c r="Q33" s="214"/>
      <c r="R33" s="144"/>
      <c r="S33" s="214"/>
      <c r="T33" s="144"/>
      <c r="U33" s="215"/>
      <c r="V33" s="216"/>
      <c r="W33" s="215"/>
      <c r="X33" s="216"/>
      <c r="Y33" s="215"/>
      <c r="Z33" s="216"/>
      <c r="AA33" s="215"/>
      <c r="AB33" s="216"/>
      <c r="AC33" s="214"/>
      <c r="AD33" s="237"/>
      <c r="AE33" s="214"/>
      <c r="AF33" s="144"/>
      <c r="AG33" s="214"/>
      <c r="AH33" s="144"/>
      <c r="AI33" s="214"/>
      <c r="AJ33" s="186"/>
      <c r="AK33" s="294" t="str">
        <f>hourlyJava!F8</f>
        <v>0001179519/15</v>
      </c>
      <c r="AL33" s="247">
        <f>VALUE(hourlyJava!G8)</f>
        <v>0</v>
      </c>
      <c r="AM33" s="278"/>
      <c r="AN33" s="247">
        <f>VALUE(hourlyJava!H8)</f>
        <v>15</v>
      </c>
      <c r="AO33" s="247">
        <f>VALUE(hourlyJava!I8)</f>
        <v>0</v>
      </c>
      <c r="AP33" s="247">
        <f>VALUE(hourlyJava!J8)</f>
        <v>0</v>
      </c>
      <c r="AQ33" s="247">
        <f>VALUE(hourlyJava!K8)</f>
        <v>0</v>
      </c>
      <c r="AR33" s="521" t="str">
        <f>hourlyJava!L8</f>
        <v xml:space="preserve">
L003</v>
      </c>
      <c r="AS33" s="522"/>
      <c r="AT33" s="295" t="str">
        <f>hourlyJava!M8</f>
        <v xml:space="preserve">
VW-0001179519 a VW-0001179009</v>
      </c>
      <c r="AU33" s="297" t="str">
        <f>hourlyJava!N8</f>
        <v xml:space="preserve">
</v>
      </c>
      <c r="AV33" s="510" t="str">
        <f>hourlyJava!O8</f>
        <v xml:space="preserve">
</v>
      </c>
      <c r="AW33" s="510"/>
      <c r="AX33" s="221">
        <f t="shared" si="14"/>
        <v>84.055555555555557</v>
      </c>
      <c r="AY33" s="184">
        <f>I33/SUM(D21:D33)*100</f>
        <v>156.35952380952378</v>
      </c>
      <c r="BA33" s="289" t="e">
        <f>IF(H33&gt;0,SUM(#REF!+I33)/(#REF!+E33))*100</f>
        <v>#REF!</v>
      </c>
      <c r="BB33" s="290">
        <f t="shared" si="11"/>
        <v>158.8235294117647</v>
      </c>
      <c r="BC33" s="279"/>
    </row>
    <row r="34" spans="1:55" ht="18" customHeight="1" thickBot="1">
      <c r="B34" s="474" t="s">
        <v>281</v>
      </c>
      <c r="C34" s="475"/>
      <c r="D34" s="233" t="s">
        <v>26</v>
      </c>
      <c r="E34" s="377">
        <f>SUM(D28:D33)</f>
        <v>1235.2941176470588</v>
      </c>
      <c r="F34" s="469">
        <f>SUM(G28:G33)</f>
        <v>9900</v>
      </c>
      <c r="G34" s="470"/>
      <c r="H34" s="527">
        <f>SUM(H28:H33)</f>
        <v>1045</v>
      </c>
      <c r="I34" s="528"/>
      <c r="J34" s="466"/>
      <c r="K34" s="467"/>
      <c r="L34" s="467"/>
      <c r="M34" s="467"/>
      <c r="N34" s="467"/>
      <c r="O34" s="467"/>
      <c r="P34" s="467"/>
      <c r="Q34" s="467"/>
      <c r="R34" s="467"/>
      <c r="S34" s="467"/>
      <c r="T34" s="467"/>
      <c r="U34" s="467"/>
      <c r="V34" s="467"/>
      <c r="W34" s="467"/>
      <c r="X34" s="467"/>
      <c r="Y34" s="467"/>
      <c r="Z34" s="467"/>
      <c r="AA34" s="467"/>
      <c r="AB34" s="467"/>
      <c r="AC34" s="467"/>
      <c r="AD34" s="467"/>
      <c r="AE34" s="467"/>
      <c r="AF34" s="467"/>
      <c r="AG34" s="467"/>
      <c r="AH34" s="467"/>
      <c r="AI34" s="467"/>
      <c r="AJ34" s="468"/>
      <c r="AK34" s="206"/>
      <c r="AL34" s="381">
        <f t="shared" ref="AL34:AQ34" si="16">SUM(AL28:AL33)</f>
        <v>0</v>
      </c>
      <c r="AM34" s="387">
        <f t="shared" si="16"/>
        <v>0</v>
      </c>
      <c r="AN34" s="207">
        <f t="shared" si="16"/>
        <v>75</v>
      </c>
      <c r="AO34" s="208">
        <f t="shared" si="16"/>
        <v>0</v>
      </c>
      <c r="AP34" s="209">
        <f t="shared" si="16"/>
        <v>0</v>
      </c>
      <c r="AQ34" s="209">
        <f t="shared" si="16"/>
        <v>0</v>
      </c>
      <c r="AR34" s="210"/>
      <c r="AS34" s="211"/>
      <c r="AT34" s="212"/>
      <c r="AU34" s="213"/>
      <c r="AV34" s="511"/>
      <c r="AW34" s="511"/>
      <c r="AX34" s="207" t="s">
        <v>281</v>
      </c>
      <c r="AY34" s="260">
        <f>IF(AY33&lt;&gt;0,AY33,IF(AY32&lt;&gt;0,AY32,IF(AY31&lt;&gt;0,AY31,IF(AY30&lt;&gt;0,AY30,IF(AY29&lt;&gt;0,AY29,IF(AY28&lt;&gt;0,AY28,IF(AY26&lt;&gt;0,AY26,IF(AY25&lt;&gt;0,AY25,IF(AY24&lt;&gt;0,AY24,IF(AY23&lt;&gt;0,AY23,IF(AY22&lt;&gt;0,AY22,IF(AY21=0,AX21,IF(AY21&lt;&gt;0,AY21)))))))))))))/100</f>
        <v>1.5635952380952378</v>
      </c>
      <c r="BA34" s="289"/>
      <c r="BC34" s="279"/>
    </row>
    <row r="35" spans="1:55" ht="18" customHeight="1" thickBot="1">
      <c r="B35" s="463" t="s">
        <v>123</v>
      </c>
      <c r="C35" s="464"/>
      <c r="D35" s="464"/>
      <c r="E35" s="465"/>
      <c r="F35" s="422"/>
      <c r="G35" s="423"/>
      <c r="H35" s="461">
        <f>H36/E36</f>
        <v>0.78179761904761902</v>
      </c>
      <c r="I35" s="462"/>
      <c r="J35" s="426"/>
      <c r="K35" s="427"/>
      <c r="L35" s="427"/>
      <c r="M35" s="427"/>
      <c r="N35" s="427"/>
      <c r="O35" s="427"/>
      <c r="P35" s="427"/>
      <c r="Q35" s="427"/>
      <c r="R35" s="427"/>
      <c r="S35" s="427"/>
      <c r="T35" s="427"/>
      <c r="U35" s="427"/>
      <c r="V35" s="427"/>
      <c r="W35" s="427"/>
      <c r="X35" s="427"/>
      <c r="Y35" s="427"/>
      <c r="Z35" s="427"/>
      <c r="AA35" s="427"/>
      <c r="AB35" s="427"/>
      <c r="AC35" s="427"/>
      <c r="AD35" s="427"/>
      <c r="AE35" s="427"/>
      <c r="AF35" s="427"/>
      <c r="AG35" s="427"/>
      <c r="AH35" s="427"/>
      <c r="AI35" s="427"/>
      <c r="AJ35" s="427"/>
      <c r="AK35" s="378"/>
      <c r="AL35" s="388">
        <f>IF(SUM(AL36:AQ36)=0,0, ((100%-H35)*AL36)/SUM(AL36:AQ36))</f>
        <v>1.5048440065681447E-3</v>
      </c>
      <c r="AM35" s="387"/>
      <c r="AN35" s="389">
        <f>IF(SUM(AL36:AQ36)=0,0, ((100%-H35)*AN36)/SUM(AL36:AQ36) )</f>
        <v>0.1467222906403941</v>
      </c>
      <c r="AO35" s="390">
        <f>IF(SUM(AL36:AQ36)=0,0, ((100%-H35)*AO36)/SUM(AL36:AQ36) )</f>
        <v>6.9975246305418737E-2</v>
      </c>
      <c r="AP35" s="391">
        <f>IF(SUM(AL36:AQ36)=0,0, ((100%-H35)*AP36)/SUM(AL36:AQ36) )</f>
        <v>0</v>
      </c>
      <c r="AQ35" s="391">
        <f>IF(SUM(AL36:AQ36)=0,0, ((100%-H35)*AQ36)/SUM(AL36:AQ36) )</f>
        <v>0</v>
      </c>
      <c r="AR35" s="210"/>
      <c r="AS35" s="379"/>
      <c r="AT35" s="212"/>
      <c r="AU35" s="380"/>
      <c r="AV35" s="421"/>
      <c r="AW35" s="421"/>
      <c r="AX35" s="381"/>
      <c r="AY35" s="382"/>
      <c r="BA35" s="289"/>
      <c r="BC35" s="279"/>
    </row>
    <row r="36" spans="1:55" ht="18" customHeight="1" thickBot="1">
      <c r="B36" s="518" t="s">
        <v>49</v>
      </c>
      <c r="C36" s="519"/>
      <c r="D36" s="520"/>
      <c r="E36" s="419">
        <f>E13+E20+E27+E34</f>
        <v>4941.1764705882351</v>
      </c>
      <c r="F36" s="469">
        <f>SUM(F7:F12,F14:F19,F21:F26, F28:F33)</f>
        <v>3922.7058823529414</v>
      </c>
      <c r="G36" s="470"/>
      <c r="H36" s="469">
        <f>SUM(H7:H12,H14:H19,H21:H26,H28:H33)</f>
        <v>3863</v>
      </c>
      <c r="I36" s="470"/>
      <c r="J36" s="515" t="s">
        <v>49</v>
      </c>
      <c r="K36" s="516"/>
      <c r="L36" s="516"/>
      <c r="M36" s="516"/>
      <c r="N36" s="516"/>
      <c r="O36" s="516"/>
      <c r="P36" s="516"/>
      <c r="Q36" s="516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7"/>
      <c r="AL36" s="219">
        <f>AL13+AL20+AL27+AL34</f>
        <v>2</v>
      </c>
      <c r="AM36" s="386">
        <f>AM13+AM20+AM27+AM34</f>
        <v>0</v>
      </c>
      <c r="AN36" s="189">
        <f>AN27+AN20+AN13+AN34</f>
        <v>195</v>
      </c>
      <c r="AO36" s="189">
        <f>AO27+AO20+AO13+AO34</f>
        <v>93</v>
      </c>
      <c r="AP36" s="189">
        <f>AP27+AP20+AP13+AP34</f>
        <v>0</v>
      </c>
      <c r="AQ36" s="228">
        <f>AQ27+AQ20+AQ13+AQ34</f>
        <v>0</v>
      </c>
      <c r="AR36" s="513"/>
      <c r="AS36" s="514"/>
      <c r="AT36" s="187"/>
      <c r="AU36" s="220"/>
      <c r="AV36" s="188"/>
      <c r="AW36" s="229"/>
      <c r="AX36" s="474" t="s">
        <v>72</v>
      </c>
      <c r="AY36" s="475"/>
      <c r="BA36" s="289"/>
      <c r="BC36" s="279"/>
    </row>
    <row r="37" spans="1:55" s="4" customFormat="1" ht="3" customHeight="1" thickBot="1">
      <c r="A37" s="1"/>
      <c r="B37" s="430"/>
      <c r="C37" s="430"/>
      <c r="D37" s="430"/>
      <c r="E37" s="430"/>
      <c r="F37" s="430"/>
      <c r="G37" s="430"/>
      <c r="H37" s="430"/>
      <c r="I37" s="430"/>
      <c r="J37" s="430"/>
      <c r="K37" s="430"/>
      <c r="L37" s="430"/>
      <c r="M37" s="430"/>
      <c r="N37" s="430"/>
      <c r="O37" s="430"/>
      <c r="P37" s="430"/>
      <c r="Q37" s="430"/>
      <c r="R37" s="430"/>
      <c r="S37" s="430"/>
      <c r="T37" s="430"/>
      <c r="U37" s="430"/>
      <c r="V37" s="430"/>
      <c r="W37" s="430"/>
      <c r="X37" s="430"/>
      <c r="Y37" s="430"/>
      <c r="Z37" s="430"/>
      <c r="AA37" s="430"/>
      <c r="AB37" s="430"/>
      <c r="AC37" s="430"/>
      <c r="AD37" s="430"/>
      <c r="AE37" s="430"/>
      <c r="AF37" s="430"/>
      <c r="AG37" s="430"/>
      <c r="AH37" s="430"/>
      <c r="AI37" s="430"/>
      <c r="AJ37" s="430"/>
      <c r="AK37" s="512"/>
      <c r="AL37" s="512"/>
      <c r="AM37" s="512"/>
      <c r="AN37" s="512"/>
      <c r="AO37" s="512"/>
      <c r="AP37" s="512"/>
      <c r="AQ37" s="512"/>
      <c r="AR37" s="512"/>
      <c r="AS37" s="512"/>
      <c r="AT37" s="512"/>
      <c r="AU37" s="512"/>
      <c r="AV37" s="512"/>
      <c r="AW37" s="512"/>
      <c r="AX37" s="425"/>
      <c r="AY37" s="425"/>
      <c r="BA37" s="289"/>
      <c r="BB37" s="287"/>
    </row>
    <row r="38" spans="1:55" ht="15" customHeight="1">
      <c r="B38" s="172"/>
      <c r="C38" s="157"/>
      <c r="D38" s="155"/>
      <c r="E38" s="156"/>
      <c r="F38" s="156"/>
      <c r="G38" s="157"/>
      <c r="H38" s="157"/>
      <c r="I38" s="157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5"/>
      <c r="AL38" s="159"/>
      <c r="AM38" s="159"/>
      <c r="AN38" s="159"/>
      <c r="AO38" s="159"/>
      <c r="AP38" s="159"/>
      <c r="AQ38" s="159"/>
      <c r="AR38" s="159"/>
      <c r="AS38" s="159"/>
      <c r="AT38" s="160"/>
      <c r="AU38" s="159"/>
      <c r="AV38" s="159"/>
      <c r="AW38" s="159"/>
      <c r="AX38" s="504" t="e">
        <f>IF(BA33&lt;&gt;0,BA33,IF(BA32&lt;&gt;0,BA32,IF(BA31&lt;&gt;0,BA31,IF(BA30&lt;&gt;0,BA30,IF(BA29&lt;&gt;0,BA29,IF(BA28&lt;&gt;0,BA28,IF(BA26&lt;&gt;0,BA26,IF(BA25&lt;&gt;0,BA25,IF(BA24&lt;&gt;0,BA24,IF(BA23&lt;&gt;0,BA23,IF(BA22&lt;&gt;0,BA22,IF(BA21&lt;&gt;0,BA21,IF(BA19&lt;&gt;0,BA19,IF(BA18&lt;&gt;0,BA18,IF(BA17&lt;&gt;0,BA17,IF(BA16&lt;&gt;0,BA16,IF(BA15&lt;&gt;0,BA15,IF(BA14&lt;&gt;0,BA14,IF(BA12&lt;&gt;0,BA12,IF(BA11&lt;&gt;0,BA11,IF(BA10&lt;&gt;0,BA10,IF(BA9&lt;&gt;0,BA9,IF(BA8&lt;&gt;0,BA8,IF(BA7&lt;&gt;0,BA7))))))))))))))))))))))))/100</f>
        <v>#REF!</v>
      </c>
      <c r="AY38" s="505"/>
    </row>
    <row r="39" spans="1:55" ht="15" customHeight="1">
      <c r="B39" s="173"/>
      <c r="C39" s="163"/>
      <c r="D39" s="161"/>
      <c r="E39" s="162"/>
      <c r="F39" s="162"/>
      <c r="G39" s="163"/>
      <c r="H39" s="163"/>
      <c r="I39" s="163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1"/>
      <c r="AL39" s="165"/>
      <c r="AM39" s="165"/>
      <c r="AN39" s="165"/>
      <c r="AO39" s="165"/>
      <c r="AP39" s="165"/>
      <c r="AQ39" s="165"/>
      <c r="AR39" s="165"/>
      <c r="AS39" s="165"/>
      <c r="AT39" s="161"/>
      <c r="AU39" s="165"/>
      <c r="AV39" s="165"/>
      <c r="AW39" s="165"/>
      <c r="AX39" s="506"/>
      <c r="AY39" s="507"/>
    </row>
    <row r="40" spans="1:55" ht="11.15" customHeight="1" thickBot="1">
      <c r="B40" s="166"/>
      <c r="C40" s="232"/>
      <c r="D40" s="167"/>
      <c r="E40" s="168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70"/>
      <c r="AL40" s="170"/>
      <c r="AM40" s="170"/>
      <c r="AN40" s="170"/>
      <c r="AO40" s="170"/>
      <c r="AP40" s="170"/>
      <c r="AQ40" s="170"/>
      <c r="AR40" s="170"/>
      <c r="AS40" s="170"/>
      <c r="AT40" s="171"/>
      <c r="AU40" s="167"/>
      <c r="AV40" s="170"/>
      <c r="AW40" s="170"/>
      <c r="AX40" s="508"/>
      <c r="AY40" s="509"/>
    </row>
    <row r="41" spans="1:55" ht="3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 ht="12.75" customHeight="1">
      <c r="D42" s="120"/>
      <c r="E42" s="120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</row>
    <row r="43" spans="1:55">
      <c r="AX43" s="286"/>
    </row>
    <row r="45" spans="1:55">
      <c r="B45" s="250" t="s">
        <v>71</v>
      </c>
    </row>
  </sheetData>
  <sheetProtection selectLockedCells="1"/>
  <mergeCells count="104">
    <mergeCell ref="F20:G20"/>
    <mergeCell ref="H20:I20"/>
    <mergeCell ref="J20:AJ20"/>
    <mergeCell ref="AV20:AW20"/>
    <mergeCell ref="B27:C27"/>
    <mergeCell ref="F27:G27"/>
    <mergeCell ref="H27:I27"/>
    <mergeCell ref="J27:AJ27"/>
    <mergeCell ref="AV27:AW27"/>
    <mergeCell ref="AR25:AS25"/>
    <mergeCell ref="AV25:AW25"/>
    <mergeCell ref="AR22:AS22"/>
    <mergeCell ref="AV22:AW22"/>
    <mergeCell ref="AR23:AS23"/>
    <mergeCell ref="AV23:AW23"/>
    <mergeCell ref="AR24:AS24"/>
    <mergeCell ref="AV24:AW24"/>
    <mergeCell ref="AR36:AS36"/>
    <mergeCell ref="AX36:AY36"/>
    <mergeCell ref="B37:AW37"/>
    <mergeCell ref="AX38:AY40"/>
    <mergeCell ref="B13:C13"/>
    <mergeCell ref="F13:G13"/>
    <mergeCell ref="H13:I13"/>
    <mergeCell ref="J13:AJ13"/>
    <mergeCell ref="AV13:AW13"/>
    <mergeCell ref="B20:C20"/>
    <mergeCell ref="B35:E35"/>
    <mergeCell ref="H35:I35"/>
    <mergeCell ref="B36:D36"/>
    <mergeCell ref="F36:G36"/>
    <mergeCell ref="H36:I36"/>
    <mergeCell ref="J36:AK36"/>
    <mergeCell ref="AR33:AS33"/>
    <mergeCell ref="AV33:AW33"/>
    <mergeCell ref="B34:C34"/>
    <mergeCell ref="F34:G34"/>
    <mergeCell ref="H34:I34"/>
    <mergeCell ref="J34:AJ34"/>
    <mergeCell ref="AV34:AW34"/>
    <mergeCell ref="AR30:AS30"/>
    <mergeCell ref="AV30:AW30"/>
    <mergeCell ref="AR31:AS31"/>
    <mergeCell ref="AV31:AW31"/>
    <mergeCell ref="AR32:AS32"/>
    <mergeCell ref="AV32:AW32"/>
    <mergeCell ref="AR26:AS26"/>
    <mergeCell ref="AV26:AW26"/>
    <mergeCell ref="AR28:AS28"/>
    <mergeCell ref="AV28:AW28"/>
    <mergeCell ref="AR29:AS29"/>
    <mergeCell ref="AV29:AW29"/>
    <mergeCell ref="AR18:AS18"/>
    <mergeCell ref="AV18:AW18"/>
    <mergeCell ref="AR19:AS19"/>
    <mergeCell ref="AV19:AW19"/>
    <mergeCell ref="AR21:AS21"/>
    <mergeCell ref="AV21:AW21"/>
    <mergeCell ref="AR17:AS17"/>
    <mergeCell ref="AV17:AW17"/>
    <mergeCell ref="AR14:AS14"/>
    <mergeCell ref="AV14:AW14"/>
    <mergeCell ref="AR15:AS15"/>
    <mergeCell ref="AV15:AW15"/>
    <mergeCell ref="AR16:AS16"/>
    <mergeCell ref="AV16:AW16"/>
    <mergeCell ref="AR5:AW5"/>
    <mergeCell ref="AX5:AY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K6:L6"/>
    <mergeCell ref="M6:N6"/>
    <mergeCell ref="O6:P6"/>
    <mergeCell ref="Q6:R6"/>
    <mergeCell ref="S6:T6"/>
    <mergeCell ref="U6:V6"/>
    <mergeCell ref="W6:X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  <mergeCell ref="Y6:AB6"/>
    <mergeCell ref="AC6:AD6"/>
    <mergeCell ref="AE6:AH6"/>
    <mergeCell ref="AI6:AJ6"/>
    <mergeCell ref="AR6:AS6"/>
    <mergeCell ref="AV6:AW6"/>
    <mergeCell ref="AN5:AQ5"/>
  </mergeCells>
  <conditionalFormatting sqref="F7:F12 F14:F19">
    <cfRule type="expression" dxfId="38" priority="39">
      <formula>$F7=0</formula>
    </cfRule>
    <cfRule type="expression" dxfId="37" priority="40">
      <formula>$F7&gt;$BB7</formula>
    </cfRule>
    <cfRule type="expression" dxfId="36" priority="41">
      <formula>$F7&lt;$BB7</formula>
    </cfRule>
    <cfRule type="expression" dxfId="35" priority="42">
      <formula>$F7=$BB7</formula>
    </cfRule>
  </conditionalFormatting>
  <conditionalFormatting sqref="F21:F26 F28:F33">
    <cfRule type="expression" dxfId="34" priority="35">
      <formula>$F21=0</formula>
    </cfRule>
    <cfRule type="expression" dxfId="33" priority="36">
      <formula>$F21&gt;$BB21</formula>
    </cfRule>
    <cfRule type="expression" dxfId="32" priority="37">
      <formula>$F21&lt;$BB21</formula>
    </cfRule>
    <cfRule type="expression" dxfId="31" priority="38">
      <formula>$F21=$BB21</formula>
    </cfRule>
  </conditionalFormatting>
  <conditionalFormatting sqref="AX38:AY40">
    <cfRule type="expression" dxfId="30" priority="27">
      <formula>$AX$38=0</formula>
    </cfRule>
    <cfRule type="expression" dxfId="29" priority="32">
      <formula>$AX$38&gt;$AX$3</formula>
    </cfRule>
    <cfRule type="expression" dxfId="28" priority="33">
      <formula>$AX$38=$AX$3</formula>
    </cfRule>
    <cfRule type="expression" dxfId="27" priority="34">
      <formula>$AX$38&lt;$AX$3</formula>
    </cfRule>
  </conditionalFormatting>
  <conditionalFormatting sqref="B34:H34 J35:AY35 B35 F35:H35 J34 AK34:AY34">
    <cfRule type="expression" dxfId="26" priority="28">
      <formula>$AY$34=0</formula>
    </cfRule>
    <cfRule type="expression" dxfId="25" priority="29">
      <formula>$AY$34=$AX$3</formula>
    </cfRule>
    <cfRule type="expression" dxfId="24" priority="30">
      <formula>$AY$34&gt;$AX$3</formula>
    </cfRule>
    <cfRule type="expression" dxfId="23" priority="31">
      <formula>$AY$34&lt;$AX$3</formula>
    </cfRule>
  </conditionalFormatting>
  <conditionalFormatting sqref="H7:H12 H14:H19">
    <cfRule type="expression" dxfId="22" priority="22">
      <formula>AND($H7&gt;$F7, $H7&gt;$D7)</formula>
    </cfRule>
    <cfRule type="expression" dxfId="21" priority="23">
      <formula>AND($H7&gt;$F7,$H7&lt;$D7)</formula>
    </cfRule>
    <cfRule type="expression" dxfId="20" priority="24">
      <formula>AND($H7&lt;$F7,$H7&lt;$D7)</formula>
    </cfRule>
    <cfRule type="expression" dxfId="19" priority="25">
      <formula>$H7=0</formula>
    </cfRule>
    <cfRule type="expression" dxfId="18" priority="26">
      <formula>AND($H7=$F7,$H7=$D7)</formula>
    </cfRule>
  </conditionalFormatting>
  <conditionalFormatting sqref="H21:H26 H28:H33">
    <cfRule type="expression" dxfId="17" priority="17">
      <formula>AND($H21&gt;$F21, $H21&gt;$D21)</formula>
    </cfRule>
    <cfRule type="expression" dxfId="16" priority="18">
      <formula>AND($H21&gt;$F21,$H21&lt;$D21)</formula>
    </cfRule>
    <cfRule type="expression" dxfId="15" priority="19">
      <formula>AND($H21&lt;$F21,$H21&lt;$D21)</formula>
    </cfRule>
    <cfRule type="expression" dxfId="14" priority="20">
      <formula>$H21=0</formula>
    </cfRule>
    <cfRule type="expression" dxfId="13" priority="21">
      <formula>AND($H21=$F21,$H21=$D21)</formula>
    </cfRule>
  </conditionalFormatting>
  <conditionalFormatting sqref="B13:H13 J13 AK13:AY13">
    <cfRule type="expression" dxfId="12" priority="118">
      <formula>#REF!=0</formula>
    </cfRule>
    <cfRule type="expression" dxfId="11" priority="119">
      <formula>#REF!=$AX$3</formula>
    </cfRule>
    <cfRule type="expression" dxfId="10" priority="120">
      <formula>#REF!&gt;$AX$3</formula>
    </cfRule>
    <cfRule type="expression" dxfId="9" priority="121">
      <formula>#REF!&lt;$AX$3</formula>
    </cfRule>
  </conditionalFormatting>
  <conditionalFormatting sqref="B20:H20 J20 AK20:AY20">
    <cfRule type="expression" dxfId="8" priority="142">
      <formula>#REF!=0</formula>
    </cfRule>
    <cfRule type="expression" dxfId="7" priority="143">
      <formula>#REF!=$AX$3</formula>
    </cfRule>
    <cfRule type="expression" dxfId="6" priority="144">
      <formula>#REF!&gt;$AX$3</formula>
    </cfRule>
    <cfRule type="expression" dxfId="5" priority="145">
      <formula>#REF!&lt;$AX$3</formula>
    </cfRule>
  </conditionalFormatting>
  <conditionalFormatting sqref="B27:H27 J27 AK27:AY27">
    <cfRule type="expression" dxfId="4" priority="1">
      <formula>$AY$34=0</formula>
    </cfRule>
    <cfRule type="expression" dxfId="3" priority="2">
      <formula>$AY$34=$AX$3</formula>
    </cfRule>
    <cfRule type="expression" dxfId="2" priority="3">
      <formula>$AY$34&gt;$AX$3</formula>
    </cfRule>
    <cfRule type="expression" dxfId="1" priority="4">
      <formula>$AY$34&lt;$AX$3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6145" r:id="rId4" name="btnGuardarOEE">
          <controlPr defaultSize="0" autoLine="0" r:id="rId5">
            <anchor moveWithCells="1">
              <from>
                <xdr:col>49</xdr:col>
                <xdr:colOff>0</xdr:colOff>
                <xdr:row>41</xdr:row>
                <xdr:rowOff>19050</xdr:rowOff>
              </from>
              <to>
                <xdr:col>51</xdr:col>
                <xdr:colOff>19050</xdr:colOff>
                <xdr:row>43</xdr:row>
                <xdr:rowOff>63500</xdr:rowOff>
              </to>
            </anchor>
          </controlPr>
        </control>
      </mc:Choice>
      <mc:Fallback>
        <control shapeId="6145" r:id="rId4" name="btnGuardarOE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zoomScale="55" zoomScaleNormal="55" workbookViewId="0">
      <selection activeCell="A52" sqref="A52:V55"/>
    </sheetView>
  </sheetViews>
  <sheetFormatPr defaultColWidth="11.453125" defaultRowHeight="14.5"/>
  <cols>
    <col min="1" max="1" width="4" style="307" customWidth="1"/>
    <col min="2" max="2" width="16.26953125" style="307" customWidth="1"/>
    <col min="3" max="3" width="27.453125" style="307" customWidth="1"/>
    <col min="4" max="4" width="4.26953125" style="307" customWidth="1"/>
    <col min="5" max="5" width="8.81640625" style="307" customWidth="1"/>
    <col min="6" max="7" width="7.7265625" style="307" customWidth="1"/>
    <col min="8" max="8" width="2.26953125" style="307" customWidth="1"/>
    <col min="9" max="9" width="1.7265625" style="307" customWidth="1"/>
    <col min="10" max="10" width="4.26953125" style="307" customWidth="1"/>
    <col min="11" max="16" width="7.7265625" style="307" customWidth="1"/>
    <col min="17" max="17" width="16.1796875" style="307" customWidth="1"/>
    <col min="18" max="19" width="0" style="307" hidden="1" customWidth="1"/>
    <col min="20" max="21" width="6.81640625" style="307" customWidth="1"/>
    <col min="22" max="22" width="21.7265625" style="307" customWidth="1"/>
    <col min="23" max="24" width="0" style="307" hidden="1" customWidth="1"/>
    <col min="25" max="25" width="11.453125" style="307"/>
    <col min="26" max="26" width="26.1796875" style="307" customWidth="1"/>
    <col min="27" max="27" width="15.1796875" style="307" customWidth="1"/>
    <col min="28" max="28" width="10.54296875" style="307" customWidth="1"/>
    <col min="29" max="29" width="8.7265625" style="307" customWidth="1"/>
    <col min="30" max="30" width="8.453125" style="307" customWidth="1"/>
    <col min="31" max="31" width="8.453125" style="307" bestFit="1" customWidth="1"/>
    <col min="32" max="33" width="7.54296875" style="307" customWidth="1"/>
    <col min="34" max="45" width="6.7265625" style="307" customWidth="1"/>
    <col min="46" max="46" width="7" style="307" customWidth="1"/>
    <col min="47" max="47" width="8.453125" style="307" customWidth="1"/>
    <col min="48" max="61" width="6.7265625" style="307" customWidth="1"/>
    <col min="62" max="62" width="8.453125" style="307" customWidth="1"/>
    <col min="63" max="67" width="6.7265625" style="307" customWidth="1"/>
    <col min="68" max="68" width="7.54296875" style="307" customWidth="1"/>
    <col min="69" max="69" width="6.7265625" style="307" customWidth="1"/>
    <col min="70" max="70" width="5.453125" style="307" customWidth="1"/>
    <col min="71" max="86" width="6.7265625" style="307" customWidth="1"/>
    <col min="87" max="87" width="7.26953125" style="307" customWidth="1"/>
    <col min="88" max="88" width="6.54296875" style="307" customWidth="1"/>
    <col min="89" max="89" width="7.81640625" style="307" customWidth="1"/>
    <col min="90" max="90" width="7.453125" style="307" customWidth="1"/>
    <col min="91" max="91" width="7" style="307" customWidth="1"/>
    <col min="92" max="92" width="7.453125" style="307" customWidth="1"/>
    <col min="93" max="93" width="7.26953125" style="307" customWidth="1"/>
    <col min="94" max="94" width="6.81640625" style="307" customWidth="1"/>
    <col min="95" max="96" width="15.7265625" style="307" customWidth="1"/>
    <col min="97" max="97" width="20.1796875" style="307" customWidth="1"/>
    <col min="98" max="99" width="6.7265625" style="307" customWidth="1"/>
    <col min="100" max="107" width="15.7265625" style="307" customWidth="1"/>
    <col min="108" max="110" width="14" style="307" customWidth="1"/>
    <col min="111" max="193" width="6.7265625" style="307" customWidth="1"/>
    <col min="194" max="16384" width="11.453125" style="307"/>
  </cols>
  <sheetData>
    <row r="1" spans="1:92" ht="12.75" customHeight="1" thickTop="1">
      <c r="A1" s="535" t="s">
        <v>120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9" t="s">
        <v>119</v>
      </c>
      <c r="Q1" s="539"/>
      <c r="R1" s="540"/>
      <c r="S1" s="543">
        <f>Proposal!AT3</f>
        <v>43020</v>
      </c>
      <c r="T1" s="544"/>
      <c r="U1" s="544"/>
      <c r="V1" s="545"/>
    </row>
    <row r="2" spans="1:92" ht="12.75" customHeight="1">
      <c r="A2" s="537"/>
      <c r="B2" s="538"/>
      <c r="C2" s="538"/>
      <c r="D2" s="538"/>
      <c r="E2" s="538"/>
      <c r="F2" s="538"/>
      <c r="G2" s="538"/>
      <c r="H2" s="538"/>
      <c r="I2" s="538"/>
      <c r="J2" s="538"/>
      <c r="K2" s="538"/>
      <c r="L2" s="538"/>
      <c r="M2" s="538"/>
      <c r="N2" s="538"/>
      <c r="O2" s="538"/>
      <c r="P2" s="541"/>
      <c r="Q2" s="541"/>
      <c r="R2" s="542"/>
      <c r="S2" s="546"/>
      <c r="T2" s="547"/>
      <c r="U2" s="547"/>
      <c r="V2" s="548"/>
    </row>
    <row r="3" spans="1:92" ht="12.75" customHeight="1">
      <c r="A3" s="552" t="str">
        <f>Proposal!F3</f>
        <v>L003</v>
      </c>
      <c r="B3" s="553"/>
      <c r="C3" s="553"/>
      <c r="D3" s="553"/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41"/>
      <c r="Q3" s="541"/>
      <c r="R3" s="542"/>
      <c r="S3" s="546"/>
      <c r="T3" s="547"/>
      <c r="U3" s="547"/>
      <c r="V3" s="548"/>
    </row>
    <row r="4" spans="1:92" ht="12.75" customHeight="1" thickBot="1">
      <c r="A4" s="552"/>
      <c r="B4" s="553"/>
      <c r="C4" s="553"/>
      <c r="D4" s="553"/>
      <c r="E4" s="553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41"/>
      <c r="Q4" s="541"/>
      <c r="R4" s="542"/>
      <c r="S4" s="549"/>
      <c r="T4" s="550"/>
      <c r="U4" s="550"/>
      <c r="V4" s="551"/>
    </row>
    <row r="5" spans="1:92" ht="12.75" customHeight="1" thickTop="1">
      <c r="A5" s="376"/>
      <c r="B5" s="374"/>
      <c r="C5" s="374"/>
      <c r="D5" s="374"/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4"/>
      <c r="P5" s="374"/>
      <c r="Q5" s="374"/>
      <c r="R5" s="375"/>
      <c r="S5" s="374"/>
      <c r="T5" s="374"/>
      <c r="U5" s="374"/>
      <c r="V5" s="373"/>
      <c r="W5" s="372"/>
      <c r="X5" s="371"/>
      <c r="Y5" s="309"/>
      <c r="Z5" s="309"/>
      <c r="AB5" s="406"/>
      <c r="AC5" s="407"/>
      <c r="AD5" s="407"/>
      <c r="AE5" s="407"/>
      <c r="AF5" s="407"/>
      <c r="AG5" s="407"/>
      <c r="AH5" s="407"/>
      <c r="AI5" s="407"/>
      <c r="AJ5" s="407"/>
      <c r="AK5" s="407"/>
      <c r="AL5" s="407"/>
      <c r="AM5" s="407"/>
      <c r="AN5" s="407"/>
      <c r="AO5" s="407"/>
      <c r="AP5" s="407"/>
      <c r="AQ5" s="407"/>
      <c r="AR5" s="407"/>
      <c r="AS5" s="400"/>
      <c r="AT5" s="400"/>
      <c r="AU5" s="400"/>
      <c r="AV5" s="400"/>
      <c r="AW5" s="400"/>
      <c r="AX5" s="400"/>
      <c r="AY5" s="400"/>
      <c r="AZ5" s="400"/>
      <c r="BA5" s="400"/>
      <c r="BB5" s="400"/>
      <c r="BC5" s="400"/>
      <c r="BD5" s="400"/>
      <c r="BE5" s="400"/>
      <c r="BF5" s="400"/>
      <c r="BG5" s="400"/>
      <c r="BH5" s="400"/>
      <c r="BI5" s="400"/>
      <c r="BJ5" s="400"/>
      <c r="BK5" s="400"/>
      <c r="BL5" s="400"/>
      <c r="BM5" s="400"/>
      <c r="BN5" s="400"/>
      <c r="BO5" s="400"/>
      <c r="BP5" s="400"/>
      <c r="BQ5" s="400"/>
      <c r="BR5" s="400"/>
      <c r="BS5" s="400"/>
      <c r="BT5" s="400"/>
      <c r="BU5" s="400"/>
      <c r="BV5" s="400"/>
      <c r="BW5" s="400"/>
      <c r="BX5" s="400"/>
      <c r="BY5" s="400"/>
      <c r="BZ5" s="400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  <c r="CN5" s="400"/>
    </row>
    <row r="6" spans="1:92" ht="12.75" customHeight="1" thickBot="1">
      <c r="A6" s="325"/>
      <c r="B6" s="564"/>
      <c r="C6" s="366"/>
      <c r="D6" s="366"/>
      <c r="E6" s="366"/>
      <c r="F6" s="366"/>
      <c r="G6" s="366"/>
      <c r="H6" s="324"/>
      <c r="I6" s="324"/>
      <c r="J6" s="565"/>
      <c r="K6" s="366"/>
      <c r="L6" s="566"/>
      <c r="M6" s="566"/>
      <c r="N6" s="366"/>
      <c r="O6" s="366"/>
      <c r="P6" s="366"/>
      <c r="Q6" s="366"/>
      <c r="R6" s="366"/>
      <c r="S6" s="343"/>
      <c r="T6" s="343"/>
      <c r="U6" s="343"/>
      <c r="V6" s="332"/>
      <c r="W6" s="309"/>
      <c r="X6" s="370"/>
      <c r="Y6" s="309"/>
      <c r="Z6" s="309"/>
      <c r="AB6" s="327" t="str">
        <f>A3</f>
        <v>L003</v>
      </c>
      <c r="AC6" s="327"/>
      <c r="AD6" s="327"/>
      <c r="AE6" s="327"/>
      <c r="AF6" s="327"/>
      <c r="AG6" s="327"/>
      <c r="AH6" s="327"/>
      <c r="AI6" s="327"/>
      <c r="AJ6" s="327"/>
      <c r="AK6" s="327"/>
      <c r="AL6" s="327"/>
      <c r="AM6" s="327"/>
      <c r="AN6" s="327"/>
      <c r="AO6" s="327"/>
      <c r="AP6" s="327"/>
      <c r="AQ6" s="327"/>
      <c r="AR6" s="327"/>
      <c r="AS6" s="327"/>
      <c r="AT6" s="327"/>
      <c r="AU6" s="327"/>
      <c r="AV6" s="327"/>
      <c r="AW6" s="327"/>
      <c r="AX6" s="327"/>
      <c r="AY6" s="327"/>
      <c r="AZ6" s="327"/>
      <c r="BA6" s="327"/>
      <c r="BB6" s="327"/>
      <c r="BC6" s="327"/>
      <c r="BD6" s="327"/>
      <c r="BE6" s="327"/>
      <c r="BF6" s="327"/>
      <c r="BG6" s="327"/>
      <c r="BH6" s="327"/>
      <c r="BI6" s="327"/>
      <c r="BJ6" s="327"/>
      <c r="BK6" s="400"/>
      <c r="BL6" s="400"/>
      <c r="BM6" s="400"/>
      <c r="BN6" s="400"/>
      <c r="BO6" s="400"/>
      <c r="BP6" s="400"/>
      <c r="BQ6" s="400"/>
      <c r="BR6" s="400"/>
      <c r="BS6" s="400"/>
      <c r="BT6" s="400"/>
      <c r="BU6" s="400"/>
      <c r="BV6" s="400"/>
      <c r="BW6" s="400"/>
      <c r="BX6" s="400"/>
      <c r="BY6" s="400"/>
      <c r="BZ6" s="400"/>
      <c r="CA6" s="400"/>
      <c r="CB6" s="400"/>
      <c r="CC6" s="400"/>
      <c r="CD6" s="400"/>
      <c r="CE6" s="400"/>
      <c r="CF6" s="400"/>
      <c r="CG6" s="400"/>
      <c r="CH6" s="400"/>
      <c r="CI6" s="400"/>
      <c r="CJ6" s="400"/>
      <c r="CK6" s="400"/>
      <c r="CL6" s="400"/>
      <c r="CM6" s="400"/>
      <c r="CN6" s="400"/>
    </row>
    <row r="7" spans="1:92" ht="12.75" customHeight="1" thickTop="1">
      <c r="A7" s="325"/>
      <c r="B7" s="564"/>
      <c r="C7" s="369"/>
      <c r="D7" s="368"/>
      <c r="E7" s="367"/>
      <c r="F7" s="367"/>
      <c r="G7" s="367"/>
      <c r="H7" s="324"/>
      <c r="I7" s="324"/>
      <c r="J7" s="565"/>
      <c r="K7" s="367"/>
      <c r="L7" s="566"/>
      <c r="M7" s="566"/>
      <c r="N7" s="367"/>
      <c r="O7" s="367"/>
      <c r="P7" s="367"/>
      <c r="Q7" s="367"/>
      <c r="R7" s="366"/>
      <c r="S7" s="343"/>
      <c r="T7" s="343"/>
      <c r="U7" s="343"/>
      <c r="V7" s="365"/>
      <c r="W7" s="364">
        <v>2</v>
      </c>
      <c r="X7" s="363" t="e">
        <v>#NAME?</v>
      </c>
      <c r="Y7" s="362"/>
      <c r="Z7" s="362"/>
      <c r="AB7" s="322" t="s">
        <v>117</v>
      </c>
      <c r="AC7" s="321"/>
      <c r="AD7" s="320"/>
      <c r="AE7" s="399">
        <v>1</v>
      </c>
      <c r="AF7" s="399">
        <v>2</v>
      </c>
      <c r="AG7" s="399">
        <v>3</v>
      </c>
      <c r="AH7" s="399">
        <v>4</v>
      </c>
      <c r="AI7" s="399">
        <v>5</v>
      </c>
      <c r="AJ7" s="399">
        <v>6</v>
      </c>
      <c r="AK7" s="399">
        <v>7</v>
      </c>
      <c r="AL7" s="399">
        <v>8</v>
      </c>
      <c r="AM7" s="399">
        <v>9</v>
      </c>
      <c r="AN7" s="399">
        <v>10</v>
      </c>
      <c r="AO7" s="399">
        <v>11</v>
      </c>
      <c r="AP7" s="399">
        <v>12</v>
      </c>
      <c r="AQ7" s="399">
        <v>13</v>
      </c>
      <c r="AR7" s="399">
        <v>14</v>
      </c>
      <c r="AS7" s="399">
        <v>15</v>
      </c>
      <c r="AT7" s="399">
        <v>16</v>
      </c>
      <c r="AU7" s="399">
        <v>17</v>
      </c>
      <c r="AV7" s="399">
        <v>18</v>
      </c>
      <c r="AW7" s="399">
        <v>19</v>
      </c>
      <c r="AX7" s="399">
        <v>20</v>
      </c>
      <c r="AY7" s="399">
        <v>21</v>
      </c>
      <c r="AZ7" s="399">
        <v>22</v>
      </c>
      <c r="BA7" s="399">
        <v>23</v>
      </c>
      <c r="BB7" s="399">
        <v>24</v>
      </c>
      <c r="BC7" s="399">
        <v>25</v>
      </c>
      <c r="BD7" s="399">
        <v>26</v>
      </c>
      <c r="BE7" s="399">
        <v>27</v>
      </c>
      <c r="BF7" s="399">
        <v>28</v>
      </c>
      <c r="BG7" s="399">
        <v>29</v>
      </c>
      <c r="BH7" s="399">
        <v>30</v>
      </c>
      <c r="BI7" s="399">
        <v>31</v>
      </c>
      <c r="BJ7" s="355" t="s">
        <v>105</v>
      </c>
      <c r="BK7" s="400"/>
      <c r="BL7" s="400"/>
      <c r="BM7" s="400"/>
      <c r="BN7" s="400"/>
      <c r="BO7" s="400"/>
      <c r="BP7" s="400"/>
      <c r="BQ7" s="400"/>
      <c r="BR7" s="400"/>
      <c r="BS7" s="400"/>
      <c r="BT7" s="400"/>
      <c r="BU7" s="400"/>
      <c r="BV7" s="400"/>
      <c r="BW7" s="400"/>
      <c r="BX7" s="400"/>
      <c r="BY7" s="400"/>
      <c r="BZ7" s="400"/>
      <c r="CA7" s="400"/>
      <c r="CB7" s="400"/>
      <c r="CC7" s="400"/>
      <c r="CD7" s="400"/>
      <c r="CE7" s="400"/>
      <c r="CF7" s="400"/>
      <c r="CG7" s="400"/>
      <c r="CH7" s="400"/>
      <c r="CI7" s="400"/>
      <c r="CJ7" s="400"/>
      <c r="CK7" s="400"/>
      <c r="CL7" s="400"/>
      <c r="CM7" s="400"/>
      <c r="CN7" s="400"/>
    </row>
    <row r="8" spans="1:92" ht="12.75" customHeight="1">
      <c r="A8" s="325"/>
      <c r="B8" s="564"/>
      <c r="C8" s="358"/>
      <c r="D8" s="344"/>
      <c r="E8" s="343"/>
      <c r="F8" s="343"/>
      <c r="G8" s="343"/>
      <c r="H8" s="324"/>
      <c r="I8" s="324"/>
      <c r="J8" s="565"/>
      <c r="K8" s="343"/>
      <c r="L8" s="566"/>
      <c r="M8" s="566"/>
      <c r="N8" s="343"/>
      <c r="O8" s="343"/>
      <c r="P8" s="343"/>
      <c r="Q8" s="343"/>
      <c r="R8" s="343"/>
      <c r="S8" s="343"/>
      <c r="T8" s="343"/>
      <c r="U8" s="343"/>
      <c r="V8" s="323"/>
      <c r="W8" s="361" t="e">
        <v>#NAME?</v>
      </c>
      <c r="X8" s="360" t="s">
        <v>121</v>
      </c>
      <c r="Y8" s="359"/>
      <c r="Z8" s="359"/>
      <c r="AB8" s="315" t="s">
        <v>103</v>
      </c>
      <c r="AC8" s="314"/>
      <c r="AD8" s="393"/>
      <c r="AE8" s="330">
        <v>0</v>
      </c>
      <c r="AF8" s="330">
        <v>0.17019999999999999</v>
      </c>
      <c r="AG8" s="330">
        <v>5.5199999999999999E-2</v>
      </c>
      <c r="AH8" s="330">
        <v>0.1457</v>
      </c>
      <c r="AI8" s="330">
        <v>0</v>
      </c>
      <c r="AJ8" s="330">
        <v>0.16830000000000001</v>
      </c>
      <c r="AK8" s="330">
        <v>0.6593</v>
      </c>
      <c r="AL8" s="330">
        <v>0.1971</v>
      </c>
      <c r="AM8" s="330">
        <v>0.1363</v>
      </c>
      <c r="AN8" s="330">
        <v>0.1971</v>
      </c>
      <c r="AO8" s="330">
        <v>0.1072</v>
      </c>
      <c r="AP8" s="330">
        <v>0.77180000000000004</v>
      </c>
      <c r="AQ8" s="330">
        <v>0.67290000000000005</v>
      </c>
      <c r="AR8" s="330">
        <v>0</v>
      </c>
      <c r="AS8" s="330">
        <v>0</v>
      </c>
      <c r="AT8" s="330">
        <v>0.3367</v>
      </c>
      <c r="AU8" s="330">
        <v>0.2099</v>
      </c>
      <c r="AV8" s="330">
        <v>0</v>
      </c>
      <c r="AW8" s="330">
        <v>0.23849999999999999</v>
      </c>
      <c r="AX8" s="330">
        <v>0.37259999999999999</v>
      </c>
      <c r="AY8" s="330">
        <v>7.5499999999999998E-2</v>
      </c>
      <c r="AZ8" s="330">
        <v>0</v>
      </c>
      <c r="BA8" s="330">
        <v>0.37540000000000001</v>
      </c>
      <c r="BB8" s="330">
        <v>0.14099999999999999</v>
      </c>
      <c r="BC8" s="330">
        <v>9.7900000000000001E-2</v>
      </c>
      <c r="BD8" s="330">
        <v>0.28949999999999998</v>
      </c>
      <c r="BE8" s="330">
        <v>0.35499999999999998</v>
      </c>
      <c r="BF8" s="330">
        <v>0</v>
      </c>
      <c r="BG8" s="330">
        <v>0</v>
      </c>
      <c r="BH8" s="330">
        <v>0.28949999999999998</v>
      </c>
      <c r="BI8" s="330">
        <v>0.14680000000000001</v>
      </c>
      <c r="BJ8" s="335">
        <f>IFERROR(SUM(AE8:BI8)/COUNTIF(AE8:BI8,"&gt;0"),0)</f>
        <v>0.26997391304347834</v>
      </c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0"/>
      <c r="BV8" s="400"/>
      <c r="BW8" s="400"/>
      <c r="BX8" s="400"/>
      <c r="BY8" s="400"/>
      <c r="BZ8" s="400"/>
      <c r="CA8" s="400"/>
      <c r="CB8" s="400"/>
      <c r="CC8" s="400"/>
      <c r="CD8" s="400"/>
      <c r="CE8" s="400"/>
      <c r="CF8" s="400"/>
      <c r="CG8" s="400"/>
      <c r="CH8" s="400"/>
      <c r="CI8" s="400"/>
      <c r="CJ8" s="400"/>
      <c r="CK8" s="400"/>
      <c r="CL8" s="400"/>
      <c r="CM8" s="400"/>
      <c r="CN8" s="400"/>
    </row>
    <row r="9" spans="1:92" ht="12.75" customHeight="1">
      <c r="A9" s="325"/>
      <c r="B9" s="564"/>
      <c r="C9" s="358"/>
      <c r="D9" s="344"/>
      <c r="E9" s="343"/>
      <c r="F9" s="343"/>
      <c r="G9" s="343"/>
      <c r="H9" s="324"/>
      <c r="I9" s="324"/>
      <c r="J9" s="565"/>
      <c r="K9" s="343"/>
      <c r="L9" s="566"/>
      <c r="M9" s="566"/>
      <c r="N9" s="343"/>
      <c r="O9" s="343"/>
      <c r="P9" s="343"/>
      <c r="Q9" s="343"/>
      <c r="R9" s="343"/>
      <c r="S9" s="343"/>
      <c r="T9" s="343"/>
      <c r="U9" s="343"/>
      <c r="V9" s="332"/>
      <c r="W9" s="309" t="e">
        <v>#NAME?</v>
      </c>
      <c r="X9" s="353"/>
      <c r="Y9" s="337"/>
      <c r="Z9" s="337"/>
      <c r="AB9" s="315" t="s">
        <v>102</v>
      </c>
      <c r="AC9" s="314"/>
      <c r="AD9" s="393"/>
      <c r="AE9" s="330">
        <v>0</v>
      </c>
      <c r="AF9" s="330">
        <v>2.5899999999999999E-2</v>
      </c>
      <c r="AG9" s="330">
        <v>0</v>
      </c>
      <c r="AH9" s="330">
        <v>1.6400000000000001E-2</v>
      </c>
      <c r="AI9" s="330">
        <v>0</v>
      </c>
      <c r="AJ9" s="330">
        <v>9.1499999999999998E-2</v>
      </c>
      <c r="AK9" s="330">
        <v>0</v>
      </c>
      <c r="AL9" s="330">
        <v>7.1999999999999998E-3</v>
      </c>
      <c r="AM9" s="330">
        <v>3.7900000000000003E-2</v>
      </c>
      <c r="AN9" s="330">
        <v>6.3E-3</v>
      </c>
      <c r="AO9" s="330">
        <v>0</v>
      </c>
      <c r="AP9" s="330">
        <v>1.6000000000000001E-3</v>
      </c>
      <c r="AQ9" s="330">
        <v>0</v>
      </c>
      <c r="AR9" s="330">
        <v>0</v>
      </c>
      <c r="AS9" s="330">
        <v>0</v>
      </c>
      <c r="AT9" s="330">
        <v>0</v>
      </c>
      <c r="AU9" s="330">
        <v>4.4999999999999997E-3</v>
      </c>
      <c r="AV9" s="330">
        <v>0</v>
      </c>
      <c r="AW9" s="330">
        <v>0</v>
      </c>
      <c r="AX9" s="330">
        <v>3.0200000000000001E-2</v>
      </c>
      <c r="AY9" s="330">
        <v>0</v>
      </c>
      <c r="AZ9" s="330">
        <v>0</v>
      </c>
      <c r="BA9" s="330">
        <v>0</v>
      </c>
      <c r="BB9" s="330">
        <v>0.1242</v>
      </c>
      <c r="BC9" s="330">
        <v>7.1999999999999998E-3</v>
      </c>
      <c r="BD9" s="330">
        <v>5.7000000000000002E-3</v>
      </c>
      <c r="BE9" s="330">
        <v>1.6400000000000001E-2</v>
      </c>
      <c r="BF9" s="330">
        <v>0</v>
      </c>
      <c r="BG9" s="330">
        <v>0</v>
      </c>
      <c r="BH9" s="330">
        <v>5.5999999999999999E-3</v>
      </c>
      <c r="BI9" s="330">
        <v>7.6E-3</v>
      </c>
      <c r="BJ9" s="335">
        <f t="shared" ref="BJ9:BJ13" si="0">IFERROR(SUM(AE9:BI9)/COUNTIF(AE9:BI9,"&gt;0"),0)</f>
        <v>2.588E-2</v>
      </c>
      <c r="BK9" s="400"/>
      <c r="BL9" s="400"/>
      <c r="BM9" s="400"/>
      <c r="BN9" s="400"/>
      <c r="BO9" s="400"/>
      <c r="BP9" s="400"/>
      <c r="BQ9" s="400"/>
      <c r="BR9" s="400"/>
      <c r="BS9" s="400"/>
      <c r="BT9" s="400"/>
      <c r="BU9" s="400"/>
      <c r="BV9" s="400"/>
      <c r="BW9" s="400"/>
      <c r="BX9" s="400"/>
      <c r="BY9" s="400"/>
      <c r="BZ9" s="400"/>
      <c r="CA9" s="400"/>
      <c r="CB9" s="400"/>
      <c r="CC9" s="400"/>
      <c r="CD9" s="400"/>
      <c r="CE9" s="400"/>
      <c r="CF9" s="400"/>
      <c r="CG9" s="400"/>
      <c r="CH9" s="400"/>
      <c r="CI9" s="400"/>
      <c r="CJ9" s="400"/>
      <c r="CK9" s="400"/>
      <c r="CL9" s="400"/>
      <c r="CM9" s="400"/>
      <c r="CN9" s="400"/>
    </row>
    <row r="10" spans="1:92" ht="12.75" customHeight="1">
      <c r="A10" s="325"/>
      <c r="B10" s="564"/>
      <c r="C10" s="358"/>
      <c r="D10" s="344"/>
      <c r="E10" s="343"/>
      <c r="F10" s="343"/>
      <c r="G10" s="343"/>
      <c r="H10" s="324"/>
      <c r="I10" s="324"/>
      <c r="J10" s="565"/>
      <c r="K10" s="343"/>
      <c r="L10" s="566"/>
      <c r="M10" s="566"/>
      <c r="N10" s="343"/>
      <c r="O10" s="343"/>
      <c r="P10" s="343"/>
      <c r="Q10" s="343"/>
      <c r="R10" s="343"/>
      <c r="S10" s="343"/>
      <c r="T10" s="343"/>
      <c r="U10" s="343"/>
      <c r="V10" s="332"/>
      <c r="W10" s="309" t="e">
        <v>#NAME?</v>
      </c>
      <c r="X10" s="353" t="e">
        <v>#NAME?</v>
      </c>
      <c r="Y10" s="337"/>
      <c r="Z10" s="337"/>
      <c r="AB10" s="315" t="s">
        <v>101</v>
      </c>
      <c r="AC10" s="314"/>
      <c r="AD10" s="393"/>
      <c r="AE10" s="330">
        <v>0</v>
      </c>
      <c r="AF10" s="330">
        <v>8.2100000000000006E-2</v>
      </c>
      <c r="AG10" s="330">
        <v>0.42730000000000001</v>
      </c>
      <c r="AH10" s="330">
        <v>0</v>
      </c>
      <c r="AI10" s="330">
        <v>8.3299999999999999E-2</v>
      </c>
      <c r="AJ10" s="330">
        <v>4.3799999999999999E-2</v>
      </c>
      <c r="AK10" s="330">
        <v>7.6799999999999993E-2</v>
      </c>
      <c r="AL10" s="330">
        <v>0</v>
      </c>
      <c r="AM10" s="330">
        <v>0.22359999999999999</v>
      </c>
      <c r="AN10" s="330">
        <v>6.5000000000000002E-2</v>
      </c>
      <c r="AO10" s="330">
        <v>1.6799999999999999E-2</v>
      </c>
      <c r="AP10" s="330">
        <v>0</v>
      </c>
      <c r="AQ10" s="330">
        <v>0</v>
      </c>
      <c r="AR10" s="330">
        <v>0</v>
      </c>
      <c r="AS10" s="330">
        <v>0</v>
      </c>
      <c r="AT10" s="330">
        <v>0</v>
      </c>
      <c r="AU10" s="330">
        <v>6.3600000000000004E-2</v>
      </c>
      <c r="AV10" s="330">
        <v>0</v>
      </c>
      <c r="AW10" s="330">
        <v>0.1207</v>
      </c>
      <c r="AX10" s="330">
        <v>0.29559999999999997</v>
      </c>
      <c r="AY10" s="330">
        <v>0</v>
      </c>
      <c r="AZ10" s="330">
        <v>0</v>
      </c>
      <c r="BA10" s="330">
        <v>0.1968</v>
      </c>
      <c r="BB10" s="330">
        <v>0.10349999999999999</v>
      </c>
      <c r="BC10" s="330">
        <v>3.6200000000000003E-2</v>
      </c>
      <c r="BD10" s="330">
        <v>0</v>
      </c>
      <c r="BE10" s="330">
        <v>0.31430000000000002</v>
      </c>
      <c r="BF10" s="330">
        <v>0</v>
      </c>
      <c r="BG10" s="330">
        <v>0</v>
      </c>
      <c r="BH10" s="330">
        <v>0</v>
      </c>
      <c r="BI10" s="330">
        <v>0.151</v>
      </c>
      <c r="BJ10" s="335">
        <f t="shared" si="0"/>
        <v>0.14377499999999999</v>
      </c>
      <c r="BK10" s="407"/>
      <c r="BL10" s="407"/>
      <c r="BM10" s="407"/>
      <c r="BN10" s="407"/>
      <c r="BO10" s="407"/>
      <c r="BP10" s="407"/>
      <c r="BQ10" s="407"/>
      <c r="BR10" s="407"/>
      <c r="BS10" s="407"/>
      <c r="BT10" s="407"/>
      <c r="BU10" s="407"/>
      <c r="BV10" s="407"/>
      <c r="BW10" s="407"/>
      <c r="BX10" s="407"/>
      <c r="BY10" s="554"/>
      <c r="BZ10" s="554"/>
      <c r="CA10" s="554"/>
      <c r="CB10" s="554"/>
      <c r="CC10" s="554"/>
      <c r="CD10" s="554"/>
      <c r="CE10" s="554"/>
      <c r="CF10" s="554"/>
      <c r="CG10" s="400"/>
      <c r="CH10" s="400"/>
      <c r="CI10" s="400"/>
      <c r="CJ10" s="400"/>
      <c r="CK10" s="400"/>
      <c r="CL10" s="400"/>
      <c r="CM10" s="400"/>
      <c r="CN10" s="400"/>
    </row>
    <row r="11" spans="1:92" ht="12.75" customHeight="1">
      <c r="A11" s="325"/>
      <c r="B11" s="564"/>
      <c r="C11" s="358"/>
      <c r="D11" s="344"/>
      <c r="E11" s="343"/>
      <c r="F11" s="343"/>
      <c r="G11" s="343"/>
      <c r="H11" s="324"/>
      <c r="I11" s="324"/>
      <c r="J11" s="565"/>
      <c r="K11" s="343"/>
      <c r="L11" s="566"/>
      <c r="M11" s="566"/>
      <c r="N11" s="343"/>
      <c r="O11" s="343"/>
      <c r="P11" s="343"/>
      <c r="Q11" s="343"/>
      <c r="R11" s="343"/>
      <c r="S11" s="343"/>
      <c r="T11" s="343"/>
      <c r="U11" s="343"/>
      <c r="V11" s="332"/>
      <c r="W11" s="309" t="e">
        <v>#NAME?</v>
      </c>
      <c r="X11" s="353" t="e">
        <v>#NAME?</v>
      </c>
      <c r="Y11" s="337"/>
      <c r="Z11" s="337"/>
      <c r="AB11" s="315" t="s">
        <v>100</v>
      </c>
      <c r="AC11" s="314"/>
      <c r="AD11" s="393"/>
      <c r="AE11" s="330">
        <v>0</v>
      </c>
      <c r="AF11" s="330">
        <v>0.59209999999999996</v>
      </c>
      <c r="AG11" s="330">
        <v>0.31940000000000002</v>
      </c>
      <c r="AH11" s="330">
        <v>0.72250000000000003</v>
      </c>
      <c r="AI11" s="330">
        <v>0.91669999999999996</v>
      </c>
      <c r="AJ11" s="330">
        <v>0.63670000000000004</v>
      </c>
      <c r="AK11" s="330">
        <v>0.20480000000000001</v>
      </c>
      <c r="AL11" s="330">
        <v>0.36170000000000002</v>
      </c>
      <c r="AM11" s="330">
        <v>0.45800000000000002</v>
      </c>
      <c r="AN11" s="330">
        <v>0.66910000000000003</v>
      </c>
      <c r="AO11" s="330">
        <v>0.81200000000000006</v>
      </c>
      <c r="AP11" s="330">
        <v>7.3200000000000001E-2</v>
      </c>
      <c r="AQ11" s="330">
        <v>0.19270000000000001</v>
      </c>
      <c r="AR11" s="330">
        <v>0</v>
      </c>
      <c r="AS11" s="330">
        <v>0</v>
      </c>
      <c r="AT11" s="330">
        <v>0.54090000000000005</v>
      </c>
      <c r="AU11" s="330">
        <v>0.44950000000000001</v>
      </c>
      <c r="AV11" s="330">
        <v>0</v>
      </c>
      <c r="AW11" s="330">
        <v>0.33489999999999998</v>
      </c>
      <c r="AX11" s="330">
        <v>6.0299999999999999E-2</v>
      </c>
      <c r="AY11" s="330">
        <v>0</v>
      </c>
      <c r="AZ11" s="330">
        <v>0</v>
      </c>
      <c r="BA11" s="330">
        <v>0.29060000000000002</v>
      </c>
      <c r="BB11" s="330">
        <v>0.32079999999999997</v>
      </c>
      <c r="BC11" s="330">
        <v>0.71389999999999998</v>
      </c>
      <c r="BD11" s="330">
        <v>0.61060000000000003</v>
      </c>
      <c r="BE11" s="330">
        <v>6.83E-2</v>
      </c>
      <c r="BF11" s="330">
        <v>0</v>
      </c>
      <c r="BG11" s="330">
        <v>0</v>
      </c>
      <c r="BH11" s="330">
        <v>0.61109999999999998</v>
      </c>
      <c r="BI11" s="330">
        <v>0.38</v>
      </c>
      <c r="BJ11" s="335">
        <f t="shared" si="0"/>
        <v>0.44955652173913058</v>
      </c>
      <c r="BK11" s="401"/>
      <c r="BL11" s="401"/>
      <c r="BM11" s="401"/>
      <c r="BN11" s="401"/>
      <c r="BO11" s="402"/>
      <c r="BP11" s="402"/>
      <c r="BQ11" s="401"/>
      <c r="BR11" s="401"/>
      <c r="BS11" s="401"/>
      <c r="BT11" s="401"/>
      <c r="BU11" s="401"/>
      <c r="BV11" s="401"/>
      <c r="BW11" s="402"/>
      <c r="BX11" s="402"/>
      <c r="BY11" s="401"/>
      <c r="BZ11" s="401"/>
      <c r="CA11" s="401"/>
      <c r="CB11" s="401"/>
      <c r="CC11" s="401"/>
      <c r="CD11" s="401"/>
      <c r="CE11" s="402"/>
      <c r="CF11" s="402"/>
      <c r="CG11" s="400"/>
      <c r="CH11" s="400"/>
      <c r="CI11" s="400"/>
      <c r="CJ11" s="400"/>
      <c r="CK11" s="400"/>
      <c r="CL11" s="400"/>
      <c r="CM11" s="400"/>
      <c r="CN11" s="400"/>
    </row>
    <row r="12" spans="1:92" ht="12.75" customHeight="1">
      <c r="A12" s="325"/>
      <c r="B12" s="564"/>
      <c r="C12" s="358"/>
      <c r="D12" s="344"/>
      <c r="E12" s="343"/>
      <c r="F12" s="343"/>
      <c r="G12" s="343"/>
      <c r="H12" s="324"/>
      <c r="I12" s="324"/>
      <c r="J12" s="565"/>
      <c r="K12" s="343"/>
      <c r="L12" s="566"/>
      <c r="M12" s="566"/>
      <c r="N12" s="343"/>
      <c r="O12" s="343"/>
      <c r="P12" s="343"/>
      <c r="Q12" s="343"/>
      <c r="R12" s="343"/>
      <c r="S12" s="343"/>
      <c r="T12" s="343"/>
      <c r="U12" s="343"/>
      <c r="V12" s="332"/>
      <c r="W12" s="309" t="e">
        <v>#NAME?</v>
      </c>
      <c r="X12" s="353" t="e">
        <v>#NAME?</v>
      </c>
      <c r="Y12" s="337"/>
      <c r="Z12" s="337"/>
      <c r="AB12" s="315" t="s">
        <v>99</v>
      </c>
      <c r="AC12" s="314"/>
      <c r="AD12" s="393"/>
      <c r="AE12" s="330">
        <v>0</v>
      </c>
      <c r="AF12" s="330">
        <v>0.12970000000000001</v>
      </c>
      <c r="AG12" s="330">
        <v>0.19819999999999999</v>
      </c>
      <c r="AH12" s="330">
        <v>0.11550000000000001</v>
      </c>
      <c r="AI12" s="330">
        <v>0</v>
      </c>
      <c r="AJ12" s="330">
        <v>5.9700000000000003E-2</v>
      </c>
      <c r="AK12" s="330">
        <v>5.91E-2</v>
      </c>
      <c r="AL12" s="330">
        <v>0.434</v>
      </c>
      <c r="AM12" s="330">
        <v>0.14419999999999999</v>
      </c>
      <c r="AN12" s="330">
        <v>6.25E-2</v>
      </c>
      <c r="AO12" s="330">
        <v>6.4000000000000001E-2</v>
      </c>
      <c r="AP12" s="330">
        <v>0.15340000000000001</v>
      </c>
      <c r="AQ12" s="330">
        <v>0.13439999999999999</v>
      </c>
      <c r="AR12" s="330">
        <v>0</v>
      </c>
      <c r="AS12" s="330">
        <v>0</v>
      </c>
      <c r="AT12" s="330">
        <v>0.1225</v>
      </c>
      <c r="AU12" s="330">
        <v>0.27239999999999998</v>
      </c>
      <c r="AV12" s="330">
        <v>0</v>
      </c>
      <c r="AW12" s="330">
        <v>0.30590000000000001</v>
      </c>
      <c r="AX12" s="330">
        <v>0.24129999999999999</v>
      </c>
      <c r="AY12" s="330">
        <v>0.92449999999999999</v>
      </c>
      <c r="AZ12" s="330">
        <v>0</v>
      </c>
      <c r="BA12" s="330">
        <v>0.13730000000000001</v>
      </c>
      <c r="BB12" s="330">
        <v>0.3105</v>
      </c>
      <c r="BC12" s="330">
        <v>0.1447</v>
      </c>
      <c r="BD12" s="330">
        <v>9.4200000000000006E-2</v>
      </c>
      <c r="BE12" s="330">
        <v>0.246</v>
      </c>
      <c r="BF12" s="330">
        <v>0</v>
      </c>
      <c r="BG12" s="330">
        <v>0</v>
      </c>
      <c r="BH12" s="330">
        <v>9.3700000000000006E-2</v>
      </c>
      <c r="BI12" s="330">
        <v>0.31459999999999999</v>
      </c>
      <c r="BJ12" s="335">
        <f t="shared" si="0"/>
        <v>0.2070565217391305</v>
      </c>
      <c r="BK12" s="403"/>
      <c r="BL12" s="403"/>
      <c r="BM12" s="403"/>
      <c r="BN12" s="403"/>
      <c r="BO12" s="403"/>
      <c r="BP12" s="403"/>
      <c r="BQ12" s="403"/>
      <c r="BR12" s="403"/>
      <c r="BS12" s="403"/>
      <c r="BT12" s="403"/>
      <c r="BU12" s="403"/>
      <c r="BV12" s="403"/>
      <c r="BW12" s="403"/>
      <c r="BX12" s="403"/>
      <c r="BY12" s="403"/>
      <c r="BZ12" s="403"/>
      <c r="CA12" s="403"/>
      <c r="CB12" s="403"/>
      <c r="CC12" s="403"/>
      <c r="CD12" s="403"/>
      <c r="CE12" s="403"/>
      <c r="CF12" s="403"/>
      <c r="CG12" s="400"/>
      <c r="CH12" s="400"/>
      <c r="CI12" s="400"/>
      <c r="CJ12" s="400"/>
      <c r="CK12" s="400"/>
      <c r="CL12" s="400"/>
      <c r="CM12" s="400"/>
      <c r="CN12" s="400"/>
    </row>
    <row r="13" spans="1:92" ht="12.75" customHeight="1">
      <c r="A13" s="345"/>
      <c r="B13" s="343"/>
      <c r="C13" s="358"/>
      <c r="D13" s="344"/>
      <c r="E13" s="343"/>
      <c r="F13" s="343"/>
      <c r="G13" s="343"/>
      <c r="H13" s="343"/>
      <c r="I13" s="343"/>
      <c r="J13" s="343"/>
      <c r="K13" s="343"/>
      <c r="L13" s="343"/>
      <c r="M13" s="343"/>
      <c r="N13" s="343"/>
      <c r="O13" s="343"/>
      <c r="P13" s="343"/>
      <c r="Q13" s="343"/>
      <c r="R13" s="343"/>
      <c r="S13" s="343"/>
      <c r="T13" s="343"/>
      <c r="U13" s="343"/>
      <c r="V13" s="332"/>
      <c r="W13" s="309" t="e">
        <v>#NAME?</v>
      </c>
      <c r="X13" s="353" t="s">
        <v>122</v>
      </c>
      <c r="Y13" s="337"/>
      <c r="Z13" s="337"/>
      <c r="AB13" s="315" t="s">
        <v>98</v>
      </c>
      <c r="AC13" s="314"/>
      <c r="AD13" s="393"/>
      <c r="AE13" s="330">
        <v>0</v>
      </c>
      <c r="AF13" s="330">
        <v>0</v>
      </c>
      <c r="AG13" s="330">
        <v>0</v>
      </c>
      <c r="AH13" s="330">
        <v>0</v>
      </c>
      <c r="AI13" s="330">
        <v>0</v>
      </c>
      <c r="AJ13" s="330">
        <v>0</v>
      </c>
      <c r="AK13" s="330">
        <v>0</v>
      </c>
      <c r="AL13" s="330">
        <v>0</v>
      </c>
      <c r="AM13" s="330">
        <v>0</v>
      </c>
      <c r="AN13" s="330">
        <v>0</v>
      </c>
      <c r="AO13" s="330">
        <v>0</v>
      </c>
      <c r="AP13" s="330">
        <v>0</v>
      </c>
      <c r="AQ13" s="330">
        <v>0</v>
      </c>
      <c r="AR13" s="330">
        <v>0</v>
      </c>
      <c r="AS13" s="330">
        <v>0</v>
      </c>
      <c r="AT13" s="330">
        <v>0</v>
      </c>
      <c r="AU13" s="330">
        <v>0</v>
      </c>
      <c r="AV13" s="330">
        <v>0</v>
      </c>
      <c r="AW13" s="330">
        <v>0</v>
      </c>
      <c r="AX13" s="330">
        <v>0</v>
      </c>
      <c r="AY13" s="330">
        <v>0</v>
      </c>
      <c r="AZ13" s="330">
        <v>0</v>
      </c>
      <c r="BA13" s="330">
        <v>0</v>
      </c>
      <c r="BB13" s="330">
        <v>0</v>
      </c>
      <c r="BC13" s="330">
        <v>0</v>
      </c>
      <c r="BD13" s="330">
        <v>0</v>
      </c>
      <c r="BE13" s="330">
        <v>0</v>
      </c>
      <c r="BF13" s="330">
        <v>0</v>
      </c>
      <c r="BG13" s="330">
        <v>0</v>
      </c>
      <c r="BH13" s="330">
        <v>0</v>
      </c>
      <c r="BI13" s="330">
        <v>0</v>
      </c>
      <c r="BJ13" s="335">
        <f t="shared" si="0"/>
        <v>0</v>
      </c>
      <c r="BK13" s="404"/>
      <c r="BL13" s="404"/>
      <c r="BM13" s="404"/>
      <c r="BN13" s="404"/>
      <c r="BO13" s="404"/>
      <c r="BP13" s="404"/>
      <c r="BQ13" s="404"/>
      <c r="BR13" s="404"/>
      <c r="BS13" s="404"/>
      <c r="BT13" s="404"/>
      <c r="BU13" s="404"/>
      <c r="BV13" s="404"/>
      <c r="BW13" s="404"/>
      <c r="BX13" s="404"/>
      <c r="BY13" s="404"/>
      <c r="BZ13" s="404"/>
      <c r="CA13" s="404"/>
      <c r="CB13" s="404"/>
      <c r="CC13" s="404"/>
      <c r="CD13" s="404"/>
      <c r="CE13" s="404"/>
      <c r="CF13" s="404"/>
      <c r="CG13" s="404"/>
      <c r="CH13" s="400"/>
      <c r="CI13" s="400"/>
      <c r="CJ13" s="400"/>
      <c r="CK13" s="400"/>
      <c r="CL13" s="400"/>
      <c r="CM13" s="400"/>
      <c r="CN13" s="400"/>
    </row>
    <row r="14" spans="1:92" ht="12.75" customHeight="1">
      <c r="A14" s="345"/>
      <c r="B14" s="343"/>
      <c r="C14" s="358"/>
      <c r="D14" s="344"/>
      <c r="E14" s="343"/>
      <c r="F14" s="343"/>
      <c r="G14" s="343"/>
      <c r="H14" s="343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32"/>
      <c r="W14" s="309" t="e">
        <v>#NAME?</v>
      </c>
      <c r="X14" s="353" t="e">
        <v>#NAME?</v>
      </c>
      <c r="Y14" s="337"/>
      <c r="Z14" s="337"/>
      <c r="AB14" s="315" t="s">
        <v>97</v>
      </c>
      <c r="AC14" s="314"/>
      <c r="AD14" s="313"/>
      <c r="AE14" s="330">
        <f>AO24</f>
        <v>0.75</v>
      </c>
      <c r="AF14" s="330">
        <f t="shared" ref="AF14:BI14" si="1">AE14</f>
        <v>0.75</v>
      </c>
      <c r="AG14" s="330">
        <f t="shared" si="1"/>
        <v>0.75</v>
      </c>
      <c r="AH14" s="330">
        <f t="shared" si="1"/>
        <v>0.75</v>
      </c>
      <c r="AI14" s="330">
        <f t="shared" si="1"/>
        <v>0.75</v>
      </c>
      <c r="AJ14" s="330">
        <f t="shared" si="1"/>
        <v>0.75</v>
      </c>
      <c r="AK14" s="330">
        <f t="shared" si="1"/>
        <v>0.75</v>
      </c>
      <c r="AL14" s="330">
        <f t="shared" si="1"/>
        <v>0.75</v>
      </c>
      <c r="AM14" s="330">
        <f t="shared" si="1"/>
        <v>0.75</v>
      </c>
      <c r="AN14" s="330">
        <f t="shared" si="1"/>
        <v>0.75</v>
      </c>
      <c r="AO14" s="330">
        <f t="shared" si="1"/>
        <v>0.75</v>
      </c>
      <c r="AP14" s="330">
        <f t="shared" si="1"/>
        <v>0.75</v>
      </c>
      <c r="AQ14" s="330">
        <f t="shared" si="1"/>
        <v>0.75</v>
      </c>
      <c r="AR14" s="330">
        <f t="shared" si="1"/>
        <v>0.75</v>
      </c>
      <c r="AS14" s="330">
        <f t="shared" si="1"/>
        <v>0.75</v>
      </c>
      <c r="AT14" s="330">
        <f t="shared" si="1"/>
        <v>0.75</v>
      </c>
      <c r="AU14" s="330">
        <f t="shared" si="1"/>
        <v>0.75</v>
      </c>
      <c r="AV14" s="330">
        <f t="shared" si="1"/>
        <v>0.75</v>
      </c>
      <c r="AW14" s="330">
        <f t="shared" si="1"/>
        <v>0.75</v>
      </c>
      <c r="AX14" s="330">
        <f t="shared" si="1"/>
        <v>0.75</v>
      </c>
      <c r="AY14" s="330">
        <f t="shared" si="1"/>
        <v>0.75</v>
      </c>
      <c r="AZ14" s="330">
        <f t="shared" si="1"/>
        <v>0.75</v>
      </c>
      <c r="BA14" s="330">
        <f t="shared" si="1"/>
        <v>0.75</v>
      </c>
      <c r="BB14" s="330">
        <f t="shared" si="1"/>
        <v>0.75</v>
      </c>
      <c r="BC14" s="330">
        <f t="shared" si="1"/>
        <v>0.75</v>
      </c>
      <c r="BD14" s="330">
        <f t="shared" si="1"/>
        <v>0.75</v>
      </c>
      <c r="BE14" s="330">
        <f t="shared" si="1"/>
        <v>0.75</v>
      </c>
      <c r="BF14" s="330">
        <f t="shared" si="1"/>
        <v>0.75</v>
      </c>
      <c r="BG14" s="330">
        <f t="shared" si="1"/>
        <v>0.75</v>
      </c>
      <c r="BH14" s="330">
        <f t="shared" si="1"/>
        <v>0.75</v>
      </c>
      <c r="BI14" s="330">
        <f t="shared" si="1"/>
        <v>0.75</v>
      </c>
      <c r="BJ14" s="335"/>
      <c r="BK14" s="400"/>
      <c r="BL14" s="400"/>
      <c r="BM14" s="400"/>
      <c r="BN14" s="400"/>
      <c r="BO14" s="400"/>
      <c r="BP14" s="400"/>
      <c r="BQ14" s="400"/>
      <c r="BR14" s="400"/>
      <c r="BS14" s="400"/>
      <c r="BT14" s="400"/>
      <c r="BU14" s="400"/>
      <c r="BV14" s="400"/>
      <c r="BW14" s="400"/>
      <c r="BX14" s="400"/>
      <c r="BY14" s="400"/>
      <c r="BZ14" s="400"/>
      <c r="CA14" s="400"/>
      <c r="CB14" s="400"/>
      <c r="CC14" s="400"/>
      <c r="CD14" s="400"/>
      <c r="CE14" s="400"/>
      <c r="CF14" s="400"/>
      <c r="CG14" s="400"/>
      <c r="CH14" s="400"/>
      <c r="CI14" s="400"/>
      <c r="CJ14" s="400"/>
      <c r="CK14" s="400"/>
      <c r="CL14" s="400"/>
      <c r="CM14" s="400"/>
      <c r="CN14" s="400"/>
    </row>
    <row r="15" spans="1:92" ht="12.75" customHeight="1">
      <c r="A15" s="345"/>
      <c r="B15" s="343"/>
      <c r="C15" s="358"/>
      <c r="D15" s="344"/>
      <c r="E15" s="343"/>
      <c r="F15" s="343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3"/>
      <c r="R15" s="343"/>
      <c r="S15" s="343"/>
      <c r="T15" s="343"/>
      <c r="U15" s="343"/>
      <c r="V15" s="332"/>
      <c r="W15" s="309"/>
      <c r="X15" s="353"/>
      <c r="Y15" s="337"/>
      <c r="Z15" s="337"/>
      <c r="AB15" s="328"/>
      <c r="AC15" s="328"/>
      <c r="AD15" s="328"/>
      <c r="AF15" s="394"/>
      <c r="AG15" s="394"/>
      <c r="AH15" s="394"/>
      <c r="AI15" s="394"/>
      <c r="AJ15" s="394"/>
      <c r="AK15" s="394"/>
      <c r="BK15" s="407"/>
      <c r="BL15" s="407"/>
      <c r="BM15" s="407"/>
      <c r="BN15" s="407"/>
      <c r="BO15" s="407"/>
      <c r="BP15" s="407"/>
      <c r="BQ15" s="407"/>
      <c r="BR15" s="407"/>
      <c r="BS15" s="407"/>
      <c r="BT15" s="407"/>
      <c r="BU15" s="407"/>
      <c r="BV15" s="407"/>
      <c r="BW15" s="407"/>
      <c r="BX15" s="407"/>
      <c r="BY15" s="554"/>
      <c r="BZ15" s="554"/>
      <c r="CA15" s="554"/>
      <c r="CB15" s="554"/>
      <c r="CC15" s="554"/>
      <c r="CD15" s="554"/>
      <c r="CE15" s="554"/>
      <c r="CF15" s="554"/>
      <c r="CG15" s="400"/>
      <c r="CH15" s="400"/>
      <c r="CI15" s="400"/>
      <c r="CJ15" s="400"/>
      <c r="CK15" s="400"/>
      <c r="CL15" s="400"/>
      <c r="CM15" s="400"/>
      <c r="CN15" s="400"/>
    </row>
    <row r="16" spans="1:92" ht="12.75" customHeight="1">
      <c r="A16" s="345"/>
      <c r="B16" s="343"/>
      <c r="C16" s="358"/>
      <c r="D16" s="344"/>
      <c r="E16" s="343"/>
      <c r="F16" s="343"/>
      <c r="G16" s="343"/>
      <c r="H16" s="343"/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32"/>
      <c r="W16" s="309"/>
      <c r="X16" s="353"/>
      <c r="Y16" s="337"/>
      <c r="Z16" s="337"/>
      <c r="AB16" s="327" t="str">
        <f>A3</f>
        <v>L003</v>
      </c>
      <c r="AC16" s="327"/>
      <c r="AD16" s="327"/>
      <c r="AE16" s="327"/>
      <c r="AF16" s="327"/>
      <c r="AG16" s="395"/>
      <c r="AH16" s="395"/>
      <c r="AI16" s="395"/>
      <c r="AJ16" s="395"/>
      <c r="AK16" s="395"/>
      <c r="AL16" s="395"/>
      <c r="AM16" s="327"/>
      <c r="AN16" s="327"/>
      <c r="AO16" s="327"/>
      <c r="AP16" s="327"/>
      <c r="AQ16" s="327"/>
      <c r="AR16" s="327"/>
      <c r="AS16" s="327"/>
      <c r="AT16" s="328"/>
      <c r="AU16" s="328"/>
      <c r="AV16" s="317"/>
      <c r="AW16" s="317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401"/>
      <c r="BL16" s="401"/>
      <c r="BM16" s="401"/>
      <c r="BN16" s="401"/>
      <c r="BO16" s="402"/>
      <c r="BP16" s="402"/>
      <c r="BQ16" s="401"/>
      <c r="BR16" s="401"/>
      <c r="BS16" s="401"/>
      <c r="BT16" s="401"/>
      <c r="BU16" s="401"/>
      <c r="BV16" s="401"/>
      <c r="BW16" s="402"/>
      <c r="BX16" s="402"/>
      <c r="BY16" s="401"/>
      <c r="BZ16" s="401"/>
      <c r="CA16" s="401"/>
      <c r="CB16" s="401"/>
      <c r="CC16" s="401"/>
      <c r="CD16" s="401"/>
      <c r="CE16" s="402"/>
      <c r="CF16" s="402"/>
      <c r="CG16" s="400"/>
      <c r="CH16" s="400"/>
      <c r="CI16" s="400"/>
      <c r="CJ16" s="400"/>
      <c r="CK16" s="400"/>
      <c r="CL16" s="400"/>
      <c r="CM16" s="400"/>
      <c r="CN16" s="400"/>
    </row>
    <row r="17" spans="1:93" ht="12.75" customHeight="1">
      <c r="A17" s="345"/>
      <c r="B17" s="343"/>
      <c r="C17" s="358"/>
      <c r="D17" s="344"/>
      <c r="E17" s="343"/>
      <c r="F17" s="343"/>
      <c r="G17" s="343"/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32"/>
      <c r="W17" s="309"/>
      <c r="X17" s="353"/>
      <c r="Y17" s="337"/>
      <c r="Z17" s="337"/>
      <c r="AB17" s="322" t="s">
        <v>116</v>
      </c>
      <c r="AC17" s="321"/>
      <c r="AD17" s="320"/>
      <c r="AE17" s="339" t="s">
        <v>115</v>
      </c>
      <c r="AF17" s="341" t="s">
        <v>113</v>
      </c>
      <c r="AG17" s="341" t="s">
        <v>114</v>
      </c>
      <c r="AH17" s="396" t="s">
        <v>218</v>
      </c>
      <c r="AI17" s="396" t="s">
        <v>219</v>
      </c>
      <c r="AJ17" s="396" t="s">
        <v>218</v>
      </c>
      <c r="AK17" s="396" t="s">
        <v>113</v>
      </c>
      <c r="AL17" s="396" t="s">
        <v>113</v>
      </c>
      <c r="AM17" s="396" t="s">
        <v>219</v>
      </c>
      <c r="AN17" s="342" t="s">
        <v>112</v>
      </c>
      <c r="AO17" s="341" t="s">
        <v>111</v>
      </c>
      <c r="AP17" s="341" t="s">
        <v>110</v>
      </c>
      <c r="AQ17" s="341" t="s">
        <v>109</v>
      </c>
      <c r="AR17" s="340" t="s">
        <v>108</v>
      </c>
      <c r="AS17" s="339" t="s">
        <v>107</v>
      </c>
      <c r="AT17" s="317"/>
      <c r="AU17" s="317"/>
      <c r="AV17" s="317"/>
      <c r="AW17" s="317"/>
      <c r="AX17" s="317"/>
      <c r="AY17" s="317"/>
      <c r="AZ17" s="317"/>
      <c r="BA17" s="317"/>
      <c r="BB17" s="317"/>
      <c r="BC17" s="317"/>
      <c r="BD17" s="317"/>
      <c r="BE17" s="317"/>
      <c r="BF17" s="317"/>
      <c r="BG17" s="317"/>
      <c r="BH17" s="317"/>
      <c r="BI17" s="317"/>
      <c r="BJ17" s="317"/>
      <c r="BK17" s="403"/>
      <c r="BL17" s="403"/>
      <c r="BM17" s="403"/>
      <c r="BN17" s="403"/>
      <c r="BO17" s="403"/>
      <c r="BP17" s="403"/>
      <c r="BQ17" s="403"/>
      <c r="BR17" s="403"/>
      <c r="BS17" s="403"/>
      <c r="BT17" s="403"/>
      <c r="BU17" s="403"/>
      <c r="BV17" s="403"/>
      <c r="BW17" s="403"/>
      <c r="BX17" s="403"/>
      <c r="BY17" s="403"/>
      <c r="BZ17" s="403"/>
      <c r="CA17" s="403"/>
      <c r="CB17" s="403"/>
      <c r="CC17" s="403"/>
      <c r="CD17" s="403"/>
      <c r="CE17" s="403"/>
      <c r="CF17" s="403"/>
      <c r="CG17" s="400"/>
      <c r="CH17" s="400"/>
      <c r="CI17" s="400"/>
      <c r="CJ17" s="400"/>
      <c r="CK17" s="400"/>
      <c r="CL17" s="400"/>
      <c r="CM17" s="400"/>
      <c r="CN17" s="400"/>
    </row>
    <row r="18" spans="1:93" ht="12.75" customHeight="1">
      <c r="A18" s="345"/>
      <c r="B18" s="343"/>
      <c r="C18" s="358"/>
      <c r="D18" s="344"/>
      <c r="E18" s="343"/>
      <c r="F18" s="343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3"/>
      <c r="R18" s="343"/>
      <c r="S18" s="343"/>
      <c r="T18" s="343"/>
      <c r="U18" s="343"/>
      <c r="V18" s="332"/>
      <c r="W18" s="309"/>
      <c r="X18" s="353"/>
      <c r="Y18" s="337"/>
      <c r="Z18" s="337"/>
      <c r="AB18" s="315" t="s">
        <v>103</v>
      </c>
      <c r="AC18" s="314"/>
      <c r="AD18" s="313"/>
      <c r="AE18" s="336">
        <v>0.59499999999999997</v>
      </c>
      <c r="AF18" s="336">
        <v>0</v>
      </c>
      <c r="AG18" s="336">
        <v>0</v>
      </c>
      <c r="AH18" s="336">
        <v>0</v>
      </c>
      <c r="AI18" s="336">
        <v>0</v>
      </c>
      <c r="AJ18" s="336">
        <v>0</v>
      </c>
      <c r="AK18" s="336">
        <v>0</v>
      </c>
      <c r="AL18" s="409">
        <v>0</v>
      </c>
      <c r="AM18" s="335">
        <v>0</v>
      </c>
      <c r="AN18" s="336">
        <v>0.21</v>
      </c>
      <c r="AO18" s="408">
        <v>0.27</v>
      </c>
      <c r="AP18" s="336">
        <v>0.14000000000000001</v>
      </c>
      <c r="AQ18" s="336">
        <v>0</v>
      </c>
      <c r="AR18" s="335"/>
      <c r="AS18" s="330"/>
      <c r="AV18" s="317"/>
      <c r="AW18" s="317"/>
      <c r="AX18" s="317"/>
      <c r="AY18" s="317"/>
      <c r="AZ18" s="317"/>
      <c r="BA18" s="317"/>
      <c r="BB18" s="317"/>
      <c r="BC18" s="317"/>
      <c r="BD18" s="317"/>
      <c r="BE18" s="317"/>
      <c r="BF18" s="317"/>
      <c r="BG18" s="317"/>
      <c r="BH18" s="317"/>
      <c r="BI18" s="317"/>
      <c r="BJ18" s="317"/>
      <c r="BK18" s="404"/>
      <c r="BL18" s="404"/>
      <c r="BM18" s="404"/>
      <c r="BN18" s="404"/>
      <c r="BO18" s="404"/>
      <c r="BP18" s="404"/>
      <c r="BQ18" s="404"/>
      <c r="BR18" s="404"/>
      <c r="BS18" s="404"/>
      <c r="BT18" s="404"/>
      <c r="BU18" s="404"/>
      <c r="BV18" s="404"/>
      <c r="BW18" s="404"/>
      <c r="BX18" s="404"/>
      <c r="BY18" s="404"/>
      <c r="BZ18" s="404"/>
      <c r="CA18" s="404"/>
      <c r="CB18" s="404"/>
      <c r="CC18" s="404"/>
      <c r="CD18" s="404"/>
      <c r="CE18" s="404"/>
      <c r="CF18" s="404"/>
      <c r="CG18" s="404"/>
      <c r="CH18" s="400"/>
      <c r="CI18" s="400"/>
      <c r="CJ18" s="400"/>
      <c r="CK18" s="400"/>
      <c r="CL18" s="400"/>
      <c r="CM18" s="400"/>
      <c r="CN18" s="400"/>
    </row>
    <row r="19" spans="1:93" ht="12.75" customHeight="1">
      <c r="A19" s="345"/>
      <c r="B19" s="343"/>
      <c r="C19" s="358"/>
      <c r="D19" s="344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32"/>
      <c r="W19" s="309"/>
      <c r="X19" s="353"/>
      <c r="Y19" s="337"/>
      <c r="Z19" s="337"/>
      <c r="AB19" s="315" t="s">
        <v>102</v>
      </c>
      <c r="AC19" s="314"/>
      <c r="AD19" s="313"/>
      <c r="AE19" s="336">
        <v>0.10100000000000001</v>
      </c>
      <c r="AF19" s="336">
        <v>0</v>
      </c>
      <c r="AG19" s="336">
        <v>0</v>
      </c>
      <c r="AH19" s="336">
        <v>0</v>
      </c>
      <c r="AI19" s="336">
        <v>0</v>
      </c>
      <c r="AJ19" s="336">
        <v>0</v>
      </c>
      <c r="AK19" s="336">
        <v>0</v>
      </c>
      <c r="AL19" s="409">
        <v>0</v>
      </c>
      <c r="AM19" s="335">
        <v>0</v>
      </c>
      <c r="AN19" s="336">
        <v>0</v>
      </c>
      <c r="AO19" s="408">
        <v>0.03</v>
      </c>
      <c r="AP19" s="336">
        <v>0.01</v>
      </c>
      <c r="AQ19" s="336">
        <v>0</v>
      </c>
      <c r="AR19" s="335"/>
      <c r="AS19" s="335"/>
      <c r="AT19" s="317"/>
      <c r="AU19" s="317"/>
      <c r="AV19" s="317"/>
      <c r="AW19" s="317"/>
      <c r="AX19" s="317"/>
      <c r="AY19" s="317"/>
      <c r="AZ19" s="317"/>
      <c r="BA19" s="317"/>
      <c r="BB19" s="317"/>
      <c r="BC19" s="317"/>
      <c r="BD19" s="317"/>
      <c r="BE19" s="317"/>
      <c r="BF19" s="317"/>
      <c r="BG19" s="317"/>
      <c r="BH19" s="317"/>
      <c r="BI19" s="317"/>
      <c r="BJ19" s="317"/>
      <c r="BK19" s="400"/>
      <c r="BL19" s="400"/>
      <c r="BM19" s="400"/>
      <c r="BN19" s="400"/>
      <c r="BO19" s="400"/>
      <c r="BP19" s="400"/>
      <c r="BQ19" s="400"/>
      <c r="BR19" s="400"/>
      <c r="BS19" s="400"/>
      <c r="BT19" s="400"/>
      <c r="BU19" s="400"/>
      <c r="BV19" s="400"/>
      <c r="BW19" s="400"/>
      <c r="BX19" s="400"/>
      <c r="BY19" s="400"/>
      <c r="BZ19" s="400"/>
      <c r="CA19" s="400"/>
      <c r="CB19" s="400"/>
      <c r="CC19" s="400"/>
      <c r="CD19" s="400"/>
      <c r="CE19" s="400"/>
      <c r="CF19" s="400"/>
      <c r="CG19" s="400"/>
      <c r="CH19" s="400"/>
      <c r="CI19" s="400"/>
      <c r="CJ19" s="400"/>
      <c r="CK19" s="400"/>
      <c r="CL19" s="400"/>
      <c r="CM19" s="400"/>
      <c r="CN19" s="400"/>
    </row>
    <row r="20" spans="1:93" ht="12.75" customHeight="1">
      <c r="A20" s="345"/>
      <c r="B20" s="343"/>
      <c r="C20" s="358"/>
      <c r="D20" s="344"/>
      <c r="E20" s="343"/>
      <c r="F20" s="343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32"/>
      <c r="W20" s="309"/>
      <c r="X20" s="353"/>
      <c r="Y20" s="337"/>
      <c r="Z20" s="337"/>
      <c r="AB20" s="315" t="s">
        <v>101</v>
      </c>
      <c r="AC20" s="314"/>
      <c r="AD20" s="313"/>
      <c r="AE20" s="336">
        <v>0.21299999999999999</v>
      </c>
      <c r="AF20" s="336">
        <v>0</v>
      </c>
      <c r="AG20" s="336">
        <v>0</v>
      </c>
      <c r="AH20" s="336">
        <v>0</v>
      </c>
      <c r="AI20" s="336">
        <v>0</v>
      </c>
      <c r="AJ20" s="336">
        <v>0</v>
      </c>
      <c r="AK20" s="336">
        <v>0</v>
      </c>
      <c r="AL20" s="409">
        <v>0</v>
      </c>
      <c r="AM20" s="335">
        <v>0</v>
      </c>
      <c r="AN20" s="336">
        <v>0.65</v>
      </c>
      <c r="AO20" s="408">
        <v>0.14000000000000001</v>
      </c>
      <c r="AP20" s="336">
        <v>0.09</v>
      </c>
      <c r="AQ20" s="336">
        <v>0</v>
      </c>
      <c r="AR20" s="335"/>
      <c r="AS20" s="335"/>
      <c r="AV20" s="317"/>
      <c r="AW20" s="317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407"/>
      <c r="BL20" s="407"/>
      <c r="BM20" s="407"/>
      <c r="BN20" s="407"/>
      <c r="BO20" s="407"/>
      <c r="BP20" s="407"/>
      <c r="BQ20" s="407"/>
      <c r="BR20" s="407"/>
      <c r="BS20" s="407"/>
      <c r="BT20" s="407"/>
      <c r="BU20" s="407"/>
      <c r="BV20" s="407"/>
      <c r="BW20" s="407"/>
      <c r="BX20" s="407"/>
      <c r="BY20" s="554"/>
      <c r="BZ20" s="554"/>
      <c r="CA20" s="554"/>
      <c r="CB20" s="554"/>
      <c r="CC20" s="554"/>
      <c r="CD20" s="554"/>
      <c r="CE20" s="554"/>
      <c r="CF20" s="554"/>
      <c r="CG20" s="400"/>
      <c r="CH20" s="400"/>
      <c r="CI20" s="400"/>
      <c r="CJ20" s="400"/>
      <c r="CK20" s="400"/>
      <c r="CL20" s="400"/>
      <c r="CM20" s="400"/>
      <c r="CN20" s="400"/>
    </row>
    <row r="21" spans="1:93" ht="12.75" customHeight="1">
      <c r="A21" s="3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3"/>
      <c r="W21" s="309"/>
      <c r="X21" s="353"/>
      <c r="Y21" s="337"/>
      <c r="Z21" s="337"/>
      <c r="AB21" s="315" t="s">
        <v>100</v>
      </c>
      <c r="AC21" s="314"/>
      <c r="AD21" s="313"/>
      <c r="AE21" s="336">
        <v>3.5999999999999997E-2</v>
      </c>
      <c r="AF21" s="336">
        <v>0</v>
      </c>
      <c r="AG21" s="336">
        <v>0</v>
      </c>
      <c r="AH21" s="336">
        <v>0</v>
      </c>
      <c r="AI21" s="336">
        <v>0</v>
      </c>
      <c r="AJ21" s="336">
        <v>0</v>
      </c>
      <c r="AK21" s="336">
        <v>0</v>
      </c>
      <c r="AL21" s="409">
        <v>0</v>
      </c>
      <c r="AM21" s="335">
        <v>0</v>
      </c>
      <c r="AN21" s="336">
        <v>0.2</v>
      </c>
      <c r="AO21" s="408">
        <v>0.44</v>
      </c>
      <c r="AP21" s="336">
        <v>0.51</v>
      </c>
      <c r="AQ21" s="336">
        <v>0</v>
      </c>
      <c r="AR21" s="335"/>
      <c r="AS21" s="335"/>
      <c r="AV21" s="317"/>
      <c r="AW21" s="317"/>
      <c r="AX21" s="317"/>
      <c r="AY21" s="317"/>
      <c r="AZ21" s="317"/>
      <c r="BA21" s="317"/>
      <c r="BB21" s="317"/>
      <c r="BC21" s="317"/>
      <c r="BD21" s="317"/>
      <c r="BE21" s="317"/>
      <c r="BF21" s="317"/>
      <c r="BG21" s="317"/>
      <c r="BH21" s="317"/>
      <c r="BI21" s="317"/>
      <c r="BJ21" s="317"/>
      <c r="BK21" s="401"/>
      <c r="BL21" s="401"/>
      <c r="BM21" s="401"/>
      <c r="BN21" s="401"/>
      <c r="BO21" s="402"/>
      <c r="BP21" s="402"/>
      <c r="BQ21" s="401"/>
      <c r="BR21" s="401"/>
      <c r="BS21" s="401"/>
      <c r="BT21" s="401"/>
      <c r="BU21" s="401"/>
      <c r="BV21" s="401"/>
      <c r="BW21" s="402"/>
      <c r="BX21" s="402"/>
      <c r="BY21" s="401"/>
      <c r="BZ21" s="401"/>
      <c r="CA21" s="401"/>
      <c r="CB21" s="401"/>
      <c r="CC21" s="401"/>
      <c r="CD21" s="401"/>
      <c r="CE21" s="402"/>
      <c r="CF21" s="402"/>
      <c r="CG21" s="400"/>
      <c r="CH21" s="400"/>
      <c r="CI21" s="400"/>
      <c r="CJ21" s="400"/>
      <c r="CK21" s="400"/>
      <c r="CL21" s="400"/>
      <c r="CM21" s="400"/>
      <c r="CN21" s="400"/>
    </row>
    <row r="22" spans="1:93" ht="12.75" customHeight="1">
      <c r="A22" s="3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3"/>
      <c r="W22" s="309" t="e">
        <v>#NAME?</v>
      </c>
      <c r="X22" s="353" t="e">
        <v>#NAME?</v>
      </c>
      <c r="Y22" s="337"/>
      <c r="Z22" s="337"/>
      <c r="AB22" s="315" t="s">
        <v>99</v>
      </c>
      <c r="AC22" s="314"/>
      <c r="AD22" s="313"/>
      <c r="AE22" s="336">
        <v>6.0000000000000001E-3</v>
      </c>
      <c r="AF22" s="336">
        <v>0</v>
      </c>
      <c r="AG22" s="336">
        <v>0</v>
      </c>
      <c r="AH22" s="336">
        <v>0</v>
      </c>
      <c r="AI22" s="336">
        <v>0</v>
      </c>
      <c r="AJ22" s="336">
        <v>0</v>
      </c>
      <c r="AK22" s="336">
        <v>0</v>
      </c>
      <c r="AL22" s="409">
        <v>0</v>
      </c>
      <c r="AM22" s="335">
        <v>0</v>
      </c>
      <c r="AN22" s="336">
        <v>0.08</v>
      </c>
      <c r="AO22" s="408">
        <v>0.2</v>
      </c>
      <c r="AP22" s="336">
        <v>0.25</v>
      </c>
      <c r="AQ22" s="336">
        <v>0</v>
      </c>
      <c r="AR22" s="335"/>
      <c r="AS22" s="335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7"/>
      <c r="BG22" s="317"/>
      <c r="BH22" s="317"/>
      <c r="BI22" s="317"/>
      <c r="BJ22" s="317"/>
      <c r="BK22" s="403"/>
      <c r="BL22" s="403"/>
      <c r="BM22" s="403"/>
      <c r="BN22" s="403"/>
      <c r="BO22" s="403"/>
      <c r="BP22" s="403"/>
      <c r="BQ22" s="403"/>
      <c r="BR22" s="403"/>
      <c r="BS22" s="403"/>
      <c r="BT22" s="403"/>
      <c r="BU22" s="403"/>
      <c r="BV22" s="403"/>
      <c r="BW22" s="403"/>
      <c r="BX22" s="403"/>
      <c r="BY22" s="403"/>
      <c r="BZ22" s="403"/>
      <c r="CA22" s="403"/>
      <c r="CB22" s="403"/>
      <c r="CC22" s="403"/>
      <c r="CD22" s="403"/>
      <c r="CE22" s="403"/>
      <c r="CF22" s="403"/>
      <c r="CG22" s="400"/>
      <c r="CH22" s="400"/>
      <c r="CI22" s="400"/>
      <c r="CJ22" s="400"/>
      <c r="CK22" s="400"/>
      <c r="CL22" s="400"/>
      <c r="CM22" s="400"/>
      <c r="CN22" s="400"/>
    </row>
    <row r="23" spans="1:93" ht="12.75" customHeight="1">
      <c r="A23" s="3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3"/>
      <c r="W23" s="309" t="e">
        <v>#NAME?</v>
      </c>
      <c r="X23" s="353" t="e">
        <v>#NAME?</v>
      </c>
      <c r="Y23" s="337"/>
      <c r="Z23" s="337"/>
      <c r="AB23" s="315" t="s">
        <v>98</v>
      </c>
      <c r="AC23" s="314"/>
      <c r="AD23" s="313"/>
      <c r="AE23" s="336">
        <v>4.9000000000000002E-2</v>
      </c>
      <c r="AF23" s="336">
        <v>0</v>
      </c>
      <c r="AG23" s="336">
        <v>0</v>
      </c>
      <c r="AH23" s="336">
        <v>0</v>
      </c>
      <c r="AI23" s="336">
        <v>0</v>
      </c>
      <c r="AJ23" s="336">
        <v>0</v>
      </c>
      <c r="AK23" s="336">
        <v>0</v>
      </c>
      <c r="AL23" s="409">
        <v>0</v>
      </c>
      <c r="AM23" s="335">
        <v>0</v>
      </c>
      <c r="AN23" s="336">
        <v>0</v>
      </c>
      <c r="AO23" s="408">
        <v>0</v>
      </c>
      <c r="AP23" s="336">
        <v>0</v>
      </c>
      <c r="AQ23" s="336">
        <v>0</v>
      </c>
      <c r="AR23" s="335"/>
      <c r="AS23" s="335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5"/>
      <c r="CH23" s="405"/>
      <c r="CI23" s="405"/>
      <c r="CJ23" s="405"/>
      <c r="CK23" s="405"/>
      <c r="CL23" s="405"/>
      <c r="CM23" s="405"/>
      <c r="CN23" s="405"/>
    </row>
    <row r="24" spans="1:93" ht="12.75" customHeight="1">
      <c r="A24" s="3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3"/>
      <c r="W24" s="309" t="e">
        <v>#NAME?</v>
      </c>
      <c r="X24" s="353" t="e">
        <v>#NAME?</v>
      </c>
      <c r="Y24" s="337"/>
      <c r="Z24" s="337"/>
      <c r="AB24" s="315" t="s">
        <v>97</v>
      </c>
      <c r="AC24" s="314"/>
      <c r="AD24" s="313"/>
      <c r="AE24" s="331"/>
      <c r="AF24" s="329"/>
      <c r="AG24" s="329"/>
      <c r="AH24" s="329"/>
      <c r="AI24" s="329"/>
      <c r="AJ24" s="329"/>
      <c r="AK24" s="329"/>
      <c r="AL24" s="329"/>
      <c r="AM24" s="330"/>
      <c r="AN24" s="329"/>
      <c r="AO24" s="329">
        <f>Proposal!AX3</f>
        <v>0.75</v>
      </c>
      <c r="AP24" s="329"/>
      <c r="AQ24" s="329"/>
      <c r="AR24" s="397"/>
      <c r="AS24" s="397"/>
      <c r="AT24" s="394"/>
      <c r="AV24" s="317"/>
      <c r="AW24" s="317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400"/>
      <c r="BL24" s="400"/>
      <c r="BM24" s="400"/>
      <c r="BN24" s="400"/>
      <c r="BO24" s="400"/>
      <c r="BP24" s="400"/>
      <c r="BQ24" s="400"/>
      <c r="BR24" s="400"/>
      <c r="BS24" s="400"/>
      <c r="BT24" s="400"/>
      <c r="BU24" s="400"/>
      <c r="BV24" s="400"/>
      <c r="BW24" s="400"/>
      <c r="BX24" s="400"/>
      <c r="BY24" s="400"/>
      <c r="BZ24" s="400"/>
      <c r="CA24" s="400"/>
      <c r="CB24" s="400"/>
      <c r="CC24" s="400"/>
      <c r="CD24" s="400"/>
      <c r="CE24" s="400"/>
      <c r="CF24" s="400"/>
      <c r="CG24" s="405"/>
      <c r="CH24" s="405"/>
      <c r="CI24" s="405"/>
      <c r="CJ24" s="405"/>
      <c r="CK24" s="405"/>
      <c r="CL24" s="405"/>
      <c r="CM24" s="405"/>
      <c r="CN24" s="405"/>
      <c r="CO24" s="331"/>
    </row>
    <row r="25" spans="1:93" ht="12.75" customHeight="1">
      <c r="A25" s="3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3"/>
      <c r="W25" s="309" t="e">
        <v>#NAME?</v>
      </c>
      <c r="X25" s="353" t="e">
        <v>#NAME?</v>
      </c>
      <c r="Y25" s="337"/>
      <c r="Z25" s="337"/>
      <c r="AB25" s="328"/>
      <c r="AC25" s="328"/>
      <c r="AD25" s="328"/>
      <c r="AE25" s="328"/>
      <c r="AF25" s="328"/>
      <c r="AP25" s="394"/>
      <c r="AQ25" s="394"/>
      <c r="AR25" s="394"/>
      <c r="AS25" s="394"/>
      <c r="AT25" s="394"/>
      <c r="AU25" s="394"/>
      <c r="AV25" s="317"/>
      <c r="AW25" s="317"/>
      <c r="AX25" s="317"/>
      <c r="AY25" s="317"/>
      <c r="AZ25" s="317"/>
      <c r="BA25" s="317"/>
      <c r="BB25" s="317"/>
      <c r="BC25" s="317"/>
      <c r="BD25" s="317"/>
      <c r="BE25" s="317"/>
      <c r="BF25" s="317"/>
      <c r="BG25" s="317"/>
      <c r="BH25" s="317"/>
      <c r="BI25" s="317"/>
      <c r="BJ25" s="317"/>
      <c r="BK25" s="407"/>
      <c r="BL25" s="407"/>
      <c r="BM25" s="407"/>
      <c r="BN25" s="407"/>
      <c r="BO25" s="407"/>
      <c r="BP25" s="407"/>
      <c r="BQ25" s="407"/>
      <c r="BR25" s="407"/>
      <c r="BS25" s="407"/>
      <c r="BT25" s="407"/>
      <c r="BU25" s="407"/>
      <c r="BV25" s="407"/>
      <c r="BW25" s="407"/>
      <c r="BX25" s="407"/>
      <c r="BY25" s="554"/>
      <c r="BZ25" s="554"/>
      <c r="CA25" s="554"/>
      <c r="CB25" s="554"/>
      <c r="CC25" s="554"/>
      <c r="CD25" s="554"/>
      <c r="CE25" s="554"/>
      <c r="CF25" s="554"/>
      <c r="CG25" s="554"/>
      <c r="CH25" s="554"/>
      <c r="CI25" s="554"/>
      <c r="CJ25" s="554"/>
      <c r="CK25" s="554"/>
      <c r="CL25" s="554"/>
      <c r="CM25" s="554"/>
      <c r="CN25" s="554"/>
      <c r="CO25" s="331"/>
    </row>
    <row r="26" spans="1:93" ht="12.75" customHeight="1">
      <c r="A26" s="325"/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  <c r="M26" s="357"/>
      <c r="N26" s="357"/>
      <c r="O26" s="357"/>
      <c r="P26" s="357"/>
      <c r="Q26" s="357"/>
      <c r="R26" s="357"/>
      <c r="S26" s="357"/>
      <c r="T26" s="357"/>
      <c r="U26" s="357"/>
      <c r="V26" s="323"/>
      <c r="W26" s="309" t="e">
        <v>#NAME?</v>
      </c>
      <c r="X26" s="353" t="e">
        <v>#NAME?</v>
      </c>
      <c r="Y26" s="337"/>
      <c r="Z26" s="337"/>
      <c r="AB26" s="327" t="str">
        <f>A3</f>
        <v>L003</v>
      </c>
      <c r="AC26" s="327"/>
      <c r="AD26" s="327"/>
      <c r="AE26" s="327"/>
      <c r="AF26" s="327"/>
      <c r="AG26" s="327"/>
      <c r="AH26" s="327"/>
      <c r="AI26" s="327"/>
      <c r="AJ26" s="327"/>
      <c r="AK26" s="326"/>
      <c r="AQ26" s="394"/>
      <c r="AR26" s="394"/>
      <c r="AS26" s="394"/>
      <c r="AT26" s="394"/>
      <c r="AU26" s="394"/>
      <c r="AV26" s="398"/>
      <c r="AW26" s="317"/>
      <c r="AX26" s="317"/>
      <c r="AY26" s="317"/>
      <c r="AZ26" s="317"/>
      <c r="BA26" s="317"/>
      <c r="BB26" s="317"/>
      <c r="BC26" s="317"/>
      <c r="BD26" s="317"/>
      <c r="BE26" s="317"/>
      <c r="BF26" s="317"/>
      <c r="BG26" s="317"/>
      <c r="BH26" s="317"/>
      <c r="BI26" s="317"/>
      <c r="BJ26" s="317"/>
      <c r="BK26" s="401"/>
      <c r="BL26" s="401"/>
      <c r="BM26" s="401"/>
      <c r="BN26" s="401"/>
      <c r="BO26" s="402"/>
      <c r="BP26" s="402"/>
      <c r="BQ26" s="401"/>
      <c r="BR26" s="401"/>
      <c r="BS26" s="401"/>
      <c r="BT26" s="401"/>
      <c r="BU26" s="401"/>
      <c r="BV26" s="401"/>
      <c r="BW26" s="402"/>
      <c r="BX26" s="402"/>
      <c r="BY26" s="401"/>
      <c r="BZ26" s="401"/>
      <c r="CA26" s="401"/>
      <c r="CB26" s="401"/>
      <c r="CC26" s="401"/>
      <c r="CD26" s="401"/>
      <c r="CE26" s="402"/>
      <c r="CF26" s="402"/>
      <c r="CG26" s="401"/>
      <c r="CH26" s="401"/>
      <c r="CI26" s="401"/>
      <c r="CJ26" s="401"/>
      <c r="CK26" s="401"/>
      <c r="CL26" s="401"/>
      <c r="CM26" s="402"/>
      <c r="CN26" s="402"/>
    </row>
    <row r="27" spans="1:93" ht="12.75" customHeight="1">
      <c r="A27" s="325"/>
      <c r="B27" s="357"/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M27" s="357"/>
      <c r="N27" s="357"/>
      <c r="O27" s="357"/>
      <c r="P27" s="357"/>
      <c r="Q27" s="357"/>
      <c r="R27" s="357"/>
      <c r="S27" s="357"/>
      <c r="T27" s="357"/>
      <c r="U27" s="357"/>
      <c r="V27" s="323"/>
      <c r="W27" s="309"/>
      <c r="X27" s="353" t="e">
        <v>#NAME?</v>
      </c>
      <c r="Y27" s="337"/>
      <c r="Z27" s="337"/>
      <c r="AB27" s="322" t="s">
        <v>106</v>
      </c>
      <c r="AC27" s="321"/>
      <c r="AD27" s="320"/>
      <c r="AE27" s="319" t="str">
        <f>"CW"&amp;WEEKNUM(S1 - 7)</f>
        <v>CW40</v>
      </c>
      <c r="AF27" s="319" t="str">
        <f>"CW"&amp;WEEKNUM(S1)</f>
        <v>CW41</v>
      </c>
      <c r="AG27" s="319" t="str">
        <f>"CW"&amp;WEEKNUM(S1 + 7)</f>
        <v>CW42</v>
      </c>
      <c r="AH27" s="319" t="str">
        <f>"CW"&amp;WEEKNUM(S1 + 14)</f>
        <v>CW43</v>
      </c>
      <c r="AI27" s="319" t="str">
        <f>"CW"&amp;WEEKNUM(S1 + 21)</f>
        <v>CW44</v>
      </c>
      <c r="AJ27" s="318" t="s">
        <v>13</v>
      </c>
      <c r="AR27" s="394"/>
      <c r="AS27" s="394"/>
      <c r="AT27" s="394"/>
      <c r="AU27" s="394"/>
      <c r="AV27" s="398"/>
      <c r="AW27" s="398"/>
      <c r="AX27" s="317"/>
      <c r="AY27" s="317"/>
      <c r="AZ27" s="317"/>
      <c r="BA27" s="317"/>
      <c r="BB27" s="317"/>
      <c r="BC27" s="317"/>
      <c r="BD27" s="317"/>
      <c r="BE27" s="317"/>
      <c r="BF27" s="317"/>
      <c r="BG27" s="317"/>
      <c r="BH27" s="317"/>
      <c r="BI27" s="317"/>
      <c r="BJ27" s="317"/>
      <c r="BK27" s="403"/>
      <c r="BL27" s="403"/>
      <c r="BM27" s="403"/>
      <c r="BN27" s="403"/>
      <c r="BO27" s="403"/>
      <c r="BP27" s="403"/>
      <c r="BQ27" s="403"/>
      <c r="BR27" s="403"/>
      <c r="BS27" s="403"/>
      <c r="BT27" s="403"/>
      <c r="BU27" s="403"/>
      <c r="BV27" s="403"/>
      <c r="BW27" s="403"/>
      <c r="BX27" s="403"/>
      <c r="BY27" s="403"/>
      <c r="BZ27" s="403"/>
      <c r="CA27" s="403"/>
      <c r="CB27" s="403"/>
      <c r="CC27" s="403"/>
      <c r="CD27" s="403"/>
      <c r="CE27" s="403"/>
      <c r="CF27" s="403"/>
      <c r="CG27" s="403"/>
      <c r="CH27" s="403"/>
      <c r="CI27" s="403"/>
      <c r="CJ27" s="403"/>
      <c r="CK27" s="403"/>
      <c r="CL27" s="403"/>
      <c r="CM27" s="403"/>
      <c r="CN27" s="403"/>
    </row>
    <row r="28" spans="1:93" ht="12.75" customHeight="1">
      <c r="A28" s="325"/>
      <c r="B28" s="357"/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  <c r="S28" s="357"/>
      <c r="T28" s="357"/>
      <c r="U28" s="357"/>
      <c r="V28" s="323"/>
      <c r="W28" s="309"/>
      <c r="X28" s="353" t="e">
        <v>#NAME?</v>
      </c>
      <c r="Y28" s="337"/>
      <c r="Z28" s="337"/>
      <c r="AB28" s="315" t="s">
        <v>103</v>
      </c>
      <c r="AC28" s="314"/>
      <c r="AD28" s="313"/>
      <c r="AE28" s="316">
        <f>IFERROR(SUM(AE8:AL8)/COUNTIF(AE8:AL8,"&gt;0"),0)</f>
        <v>0.23263333333333336</v>
      </c>
      <c r="AF28" s="316">
        <f>IFERROR(SUM(AM8:AS8)/COUNTIF(AM8:AS8,"&gt;0"),0)</f>
        <v>0.37706000000000006</v>
      </c>
      <c r="AG28" s="316">
        <f>IFERROR(SUM(AT8:AZ8)/COUNTIF(AT8:AZ8,"&gt;0"),0)</f>
        <v>0.24663999999999997</v>
      </c>
      <c r="AH28" s="316">
        <f>IFERROR(SUM(BA8:BG8)/COUNTIF(BA8:BG8,"&gt;0"),0)</f>
        <v>0.25175999999999998</v>
      </c>
      <c r="AI28" s="316">
        <f t="shared" ref="AI28:AI33" si="2">IFERROR(SUM(BH8:BI8)/COUNTIF(BH8:BI8,"&gt;0"),0)</f>
        <v>0.21815000000000001</v>
      </c>
      <c r="AJ28" s="310">
        <f t="shared" ref="AJ28:AJ34" si="3">IFERROR(SUM(AE28:AI28)/COUNTIF(AE28:AI28,"&gt;0"),0)</f>
        <v>0.26524866666666669</v>
      </c>
      <c r="AL28" s="317"/>
      <c r="AM28" s="317"/>
      <c r="AN28" s="317"/>
      <c r="AO28" s="317"/>
      <c r="AP28" s="317"/>
      <c r="AQ28" s="317"/>
      <c r="AR28" s="317"/>
      <c r="AS28" s="398"/>
      <c r="AT28" s="398"/>
      <c r="AU28" s="398"/>
      <c r="AV28" s="398"/>
      <c r="AW28" s="398"/>
      <c r="AX28" s="398"/>
      <c r="AY28" s="317"/>
      <c r="AZ28" s="317"/>
      <c r="BA28" s="317"/>
      <c r="BB28" s="317"/>
      <c r="BC28" s="317"/>
      <c r="BD28" s="317"/>
      <c r="BE28" s="317"/>
      <c r="BF28" s="317"/>
      <c r="BG28" s="317"/>
      <c r="BH28" s="317"/>
      <c r="BI28" s="317"/>
      <c r="BJ28" s="317"/>
      <c r="CG28" s="328"/>
      <c r="CH28" s="328"/>
      <c r="CI28" s="328"/>
      <c r="CJ28" s="328"/>
      <c r="CK28" s="328"/>
      <c r="CL28" s="328"/>
      <c r="CM28" s="328"/>
      <c r="CN28" s="328"/>
    </row>
    <row r="29" spans="1:93" ht="12.75" customHeight="1">
      <c r="A29" s="325"/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N29" s="357"/>
      <c r="O29" s="357"/>
      <c r="P29" s="357"/>
      <c r="Q29" s="357"/>
      <c r="R29" s="357"/>
      <c r="S29" s="357"/>
      <c r="T29" s="357"/>
      <c r="U29" s="357"/>
      <c r="V29" s="323"/>
      <c r="W29" s="309"/>
      <c r="X29" s="353" t="e">
        <v>#NAME?</v>
      </c>
      <c r="Y29" s="337"/>
      <c r="Z29" s="337"/>
      <c r="AB29" s="315" t="s">
        <v>102</v>
      </c>
      <c r="AC29" s="314"/>
      <c r="AD29" s="313"/>
      <c r="AE29" s="316">
        <f t="shared" ref="AE29:AE33" si="4">IFERROR(SUM(AE9:AL9)/COUNTIF(AE9:AL9,"&gt;0"),0)</f>
        <v>3.5250000000000004E-2</v>
      </c>
      <c r="AF29" s="316">
        <f t="shared" ref="AF29:AF33" si="5">IFERROR(SUM(AM9:AS9)/COUNTIF(AM9:AS9,"&gt;0"),0)</f>
        <v>1.5266666666666666E-2</v>
      </c>
      <c r="AG29" s="316">
        <f t="shared" ref="AG29:AG33" si="6">IFERROR(SUM(AT9:AZ9)/COUNTIF(AT9:AZ9,"&gt;0"),0)</f>
        <v>1.7350000000000001E-2</v>
      </c>
      <c r="AH29" s="316">
        <f t="shared" ref="AH29:AH33" si="7">IFERROR(SUM(BA9:BG9)/COUNTIF(BA9:BG9,"&gt;0"),0)</f>
        <v>3.8375000000000006E-2</v>
      </c>
      <c r="AI29" s="316">
        <f t="shared" si="2"/>
        <v>6.6E-3</v>
      </c>
      <c r="AJ29" s="310">
        <f t="shared" si="3"/>
        <v>2.2568333333333336E-2</v>
      </c>
      <c r="AL29" s="317"/>
      <c r="AM29" s="317"/>
      <c r="AN29" s="317"/>
      <c r="AO29" s="317"/>
      <c r="AP29" s="317"/>
      <c r="AQ29" s="317"/>
      <c r="AR29" s="317"/>
      <c r="AS29" s="317"/>
      <c r="AT29" s="398"/>
      <c r="AU29" s="398"/>
      <c r="AV29" s="398"/>
      <c r="AW29" s="398"/>
      <c r="AX29" s="398"/>
      <c r="AY29" s="398"/>
      <c r="AZ29" s="317"/>
      <c r="BA29" s="317"/>
      <c r="BB29" s="317"/>
      <c r="BC29" s="317"/>
      <c r="BD29" s="317"/>
      <c r="BE29" s="317"/>
      <c r="BF29" s="317"/>
      <c r="BG29" s="317"/>
      <c r="BH29" s="317"/>
      <c r="BI29" s="317"/>
      <c r="BJ29" s="317"/>
      <c r="CG29" s="328"/>
      <c r="CH29" s="328"/>
      <c r="CI29" s="328"/>
      <c r="CJ29" s="328"/>
      <c r="CK29" s="328"/>
      <c r="CL29" s="328"/>
      <c r="CM29" s="328"/>
      <c r="CN29" s="328"/>
    </row>
    <row r="30" spans="1:93" ht="12.75" customHeight="1" thickBot="1">
      <c r="A30" s="325"/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6"/>
      <c r="W30" s="309"/>
      <c r="X30" s="356" t="e">
        <v>#NAME?</v>
      </c>
      <c r="Y30" s="337"/>
      <c r="Z30" s="337"/>
      <c r="AB30" s="315" t="s">
        <v>101</v>
      </c>
      <c r="AC30" s="314"/>
      <c r="AD30" s="313"/>
      <c r="AE30" s="316">
        <f t="shared" si="4"/>
        <v>0.14266000000000001</v>
      </c>
      <c r="AF30" s="316">
        <f t="shared" si="5"/>
        <v>0.10179999999999999</v>
      </c>
      <c r="AG30" s="316">
        <f t="shared" si="6"/>
        <v>0.15996666666666667</v>
      </c>
      <c r="AH30" s="316">
        <f t="shared" si="7"/>
        <v>0.16270000000000001</v>
      </c>
      <c r="AI30" s="316">
        <f t="shared" si="2"/>
        <v>0.151</v>
      </c>
      <c r="AJ30" s="310">
        <f t="shared" si="3"/>
        <v>0.14362533333333335</v>
      </c>
      <c r="AU30" s="394"/>
      <c r="AV30" s="394"/>
      <c r="AW30" s="394"/>
      <c r="AX30" s="394"/>
      <c r="AY30" s="394"/>
      <c r="AZ30" s="394"/>
    </row>
    <row r="31" spans="1:93" ht="12.75" customHeight="1" thickBot="1">
      <c r="A31" s="325"/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6"/>
      <c r="W31" s="309"/>
      <c r="X31" s="353"/>
      <c r="Y31" s="337"/>
      <c r="Z31" s="337"/>
      <c r="AB31" s="315" t="s">
        <v>100</v>
      </c>
      <c r="AC31" s="314"/>
      <c r="AD31" s="313"/>
      <c r="AE31" s="316">
        <f t="shared" si="4"/>
        <v>0.53627142857142862</v>
      </c>
      <c r="AF31" s="316">
        <f t="shared" si="5"/>
        <v>0.441</v>
      </c>
      <c r="AG31" s="316">
        <f t="shared" si="6"/>
        <v>0.34639999999999999</v>
      </c>
      <c r="AH31" s="316">
        <f t="shared" si="7"/>
        <v>0.40083999999999997</v>
      </c>
      <c r="AI31" s="316">
        <f t="shared" si="2"/>
        <v>0.49554999999999999</v>
      </c>
      <c r="AJ31" s="310">
        <f t="shared" si="3"/>
        <v>0.44401228571428575</v>
      </c>
      <c r="AV31" s="394"/>
      <c r="AW31" s="394"/>
      <c r="AX31" s="394"/>
      <c r="AY31" s="394"/>
      <c r="AZ31" s="394"/>
      <c r="BA31" s="394"/>
      <c r="CG31" s="331"/>
      <c r="CH31" s="331"/>
      <c r="CI31" s="331"/>
      <c r="CJ31" s="331"/>
      <c r="CK31" s="331"/>
      <c r="CL31" s="331"/>
      <c r="CM31" s="331"/>
      <c r="CN31" s="331"/>
    </row>
    <row r="32" spans="1:93" ht="12.75" customHeight="1">
      <c r="A32" s="348"/>
      <c r="B32" s="347"/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6"/>
      <c r="W32" s="309"/>
      <c r="X32" s="354" t="e">
        <v>#NAME?</v>
      </c>
      <c r="Y32" s="349"/>
      <c r="Z32" s="349"/>
      <c r="AB32" s="315" t="s">
        <v>99</v>
      </c>
      <c r="AC32" s="314"/>
      <c r="AD32" s="313"/>
      <c r="AE32" s="316">
        <f t="shared" si="4"/>
        <v>0.16603333333333334</v>
      </c>
      <c r="AF32" s="316">
        <f t="shared" si="5"/>
        <v>0.11169999999999999</v>
      </c>
      <c r="AG32" s="316">
        <f t="shared" si="6"/>
        <v>0.37331999999999999</v>
      </c>
      <c r="AH32" s="316">
        <f t="shared" si="7"/>
        <v>0.18654000000000001</v>
      </c>
      <c r="AI32" s="316">
        <f t="shared" si="2"/>
        <v>0.20415</v>
      </c>
      <c r="AJ32" s="310">
        <f t="shared" si="3"/>
        <v>0.20834866666666665</v>
      </c>
      <c r="AW32" s="394"/>
      <c r="AX32" s="394"/>
      <c r="AY32" s="394"/>
      <c r="AZ32" s="394"/>
      <c r="BA32" s="394"/>
      <c r="BB32" s="394"/>
      <c r="BK32" s="317"/>
    </row>
    <row r="33" spans="1:63" ht="12.75" customHeight="1">
      <c r="A33" s="348"/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6"/>
      <c r="W33" s="309"/>
      <c r="X33" s="353"/>
      <c r="Y33" s="337"/>
      <c r="Z33" s="337"/>
      <c r="AB33" s="315" t="s">
        <v>98</v>
      </c>
      <c r="AC33" s="314"/>
      <c r="AD33" s="313"/>
      <c r="AE33" s="316">
        <f t="shared" si="4"/>
        <v>0</v>
      </c>
      <c r="AF33" s="316">
        <f t="shared" si="5"/>
        <v>0</v>
      </c>
      <c r="AG33" s="316">
        <f t="shared" si="6"/>
        <v>0</v>
      </c>
      <c r="AH33" s="316">
        <f t="shared" si="7"/>
        <v>0</v>
      </c>
      <c r="AI33" s="316">
        <f t="shared" si="2"/>
        <v>0</v>
      </c>
      <c r="AJ33" s="310">
        <f t="shared" si="3"/>
        <v>0</v>
      </c>
      <c r="AX33" s="394"/>
      <c r="AY33" s="394"/>
      <c r="AZ33" s="394"/>
      <c r="BA33" s="394"/>
      <c r="BB33" s="394"/>
      <c r="BC33" s="394"/>
      <c r="BK33" s="317"/>
    </row>
    <row r="34" spans="1:63" ht="12.75" customHeight="1">
      <c r="A34" s="348"/>
      <c r="B34" s="347"/>
      <c r="C34" s="347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6"/>
      <c r="W34" s="309"/>
      <c r="X34" s="353" t="s">
        <v>118</v>
      </c>
      <c r="Y34" s="337"/>
      <c r="Z34" s="337"/>
      <c r="AB34" s="315" t="s">
        <v>97</v>
      </c>
      <c r="AC34" s="314"/>
      <c r="AD34" s="313"/>
      <c r="AE34" s="312">
        <f>AO24</f>
        <v>0.75</v>
      </c>
      <c r="AF34" s="311">
        <f>AE34</f>
        <v>0.75</v>
      </c>
      <c r="AG34" s="311">
        <f>AF34</f>
        <v>0.75</v>
      </c>
      <c r="AH34" s="311">
        <f>AG34</f>
        <v>0.75</v>
      </c>
      <c r="AI34" s="311">
        <f>AH34</f>
        <v>0.75</v>
      </c>
      <c r="AJ34" s="310">
        <f t="shared" si="3"/>
        <v>0.75</v>
      </c>
      <c r="AY34" s="394"/>
      <c r="AZ34" s="394"/>
      <c r="BA34" s="394"/>
      <c r="BB34" s="394"/>
      <c r="BC34" s="394"/>
      <c r="BD34" s="394"/>
      <c r="BK34" s="317"/>
    </row>
    <row r="35" spans="1:63" ht="12.75" customHeight="1" thickBot="1">
      <c r="A35" s="348"/>
      <c r="B35" s="347"/>
      <c r="C35" s="347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6"/>
      <c r="W35" s="309"/>
      <c r="X35" s="353" t="e">
        <v>#NAME?</v>
      </c>
      <c r="Y35" s="337"/>
      <c r="Z35" s="337"/>
      <c r="BK35" s="317"/>
    </row>
    <row r="36" spans="1:63" ht="12.75" customHeight="1" thickBot="1">
      <c r="A36" s="348"/>
      <c r="B36" s="347"/>
      <c r="C36" s="347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7"/>
      <c r="P36" s="347"/>
      <c r="Q36" s="347"/>
      <c r="R36" s="347"/>
      <c r="S36" s="347"/>
      <c r="T36" s="347"/>
      <c r="U36" s="347"/>
      <c r="V36" s="346"/>
      <c r="W36" s="309"/>
      <c r="X36" s="352"/>
      <c r="Y36" s="337"/>
      <c r="Z36" s="337"/>
      <c r="BK36" s="317"/>
    </row>
    <row r="37" spans="1:63" ht="12.75" customHeight="1" thickBot="1">
      <c r="A37" s="348"/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6"/>
      <c r="W37" s="351"/>
      <c r="X37" s="350" t="e">
        <v>#NAME?</v>
      </c>
      <c r="Y37" s="349"/>
      <c r="Z37" s="349"/>
      <c r="BK37" s="317"/>
    </row>
    <row r="38" spans="1:63" ht="12.75" customHeight="1" thickTop="1">
      <c r="A38" s="348"/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6"/>
      <c r="X38" s="338" t="e">
        <v>#NAME?</v>
      </c>
      <c r="Y38" s="337"/>
      <c r="Z38" s="337"/>
      <c r="BK38" s="317"/>
    </row>
    <row r="39" spans="1:63" ht="12.75" customHeight="1">
      <c r="A39" s="348"/>
      <c r="B39" s="347"/>
      <c r="C39" s="347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6"/>
      <c r="X39" s="338" t="s">
        <v>122</v>
      </c>
      <c r="Y39" s="337"/>
      <c r="Z39" s="337"/>
      <c r="AC39" s="410"/>
      <c r="BK39" s="317"/>
    </row>
    <row r="40" spans="1:63" ht="12.75" customHeight="1">
      <c r="A40" s="348"/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346"/>
      <c r="X40" s="338" t="e">
        <v>#NAME?</v>
      </c>
      <c r="Y40" s="337"/>
      <c r="Z40" s="337"/>
      <c r="BK40" s="317"/>
    </row>
    <row r="41" spans="1:63" ht="12.75" customHeight="1">
      <c r="A41" s="345"/>
      <c r="B41" s="343"/>
      <c r="C41" s="343"/>
      <c r="D41" s="344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32"/>
      <c r="X41" s="338" t="e">
        <v>#NAME?</v>
      </c>
      <c r="Y41" s="337"/>
      <c r="Z41" s="337"/>
      <c r="BK41" s="317"/>
    </row>
    <row r="42" spans="1:63" ht="12.75" customHeight="1">
      <c r="A42" s="3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3"/>
      <c r="X42" s="338" t="e">
        <v>#NAME?</v>
      </c>
      <c r="Y42" s="337"/>
      <c r="Z42" s="337"/>
      <c r="BK42" s="317"/>
    </row>
    <row r="43" spans="1:63" ht="12.75" customHeight="1">
      <c r="A43" s="3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3"/>
      <c r="X43" s="338"/>
      <c r="Y43" s="337"/>
      <c r="Z43" s="337"/>
      <c r="BK43" s="317"/>
    </row>
    <row r="44" spans="1:63" ht="12.75" customHeight="1">
      <c r="A44" s="3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3"/>
      <c r="BK44" s="317"/>
    </row>
    <row r="45" spans="1:63" ht="12.75" customHeight="1">
      <c r="A45" s="3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3"/>
      <c r="BK45" s="317"/>
    </row>
    <row r="46" spans="1:63" ht="12.75" customHeight="1">
      <c r="A46" s="3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3"/>
      <c r="BK46" s="317"/>
    </row>
    <row r="47" spans="1:63" ht="12.75" customHeight="1">
      <c r="A47" s="325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3"/>
      <c r="T47" s="333"/>
      <c r="U47" s="333"/>
      <c r="V47" s="332"/>
      <c r="BK47" s="317"/>
    </row>
    <row r="48" spans="1:63" ht="12.75" customHeight="1">
      <c r="A48" s="325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3"/>
      <c r="T48" s="333"/>
      <c r="U48" s="333"/>
      <c r="V48" s="332"/>
      <c r="BK48" s="317"/>
    </row>
    <row r="49" spans="1:63" ht="12.75" customHeight="1">
      <c r="A49" s="3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3"/>
      <c r="BK49" s="317"/>
    </row>
    <row r="50" spans="1:63" ht="12.75" customHeight="1">
      <c r="A50" s="3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3"/>
      <c r="BK50" s="317"/>
    </row>
    <row r="51" spans="1:63" ht="15" thickBot="1">
      <c r="A51" s="3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3"/>
      <c r="BK51" s="317"/>
    </row>
    <row r="52" spans="1:63" ht="12.75" customHeight="1" thickTop="1">
      <c r="A52" s="555" t="s">
        <v>104</v>
      </c>
      <c r="B52" s="556"/>
      <c r="C52" s="556"/>
      <c r="D52" s="556"/>
      <c r="E52" s="556"/>
      <c r="F52" s="556"/>
      <c r="G52" s="556"/>
      <c r="H52" s="556"/>
      <c r="I52" s="556"/>
      <c r="J52" s="556"/>
      <c r="K52" s="556"/>
      <c r="L52" s="556"/>
      <c r="M52" s="556"/>
      <c r="N52" s="556"/>
      <c r="O52" s="556"/>
      <c r="P52" s="556"/>
      <c r="Q52" s="556"/>
      <c r="R52" s="556"/>
      <c r="S52" s="556"/>
      <c r="T52" s="556"/>
      <c r="U52" s="556"/>
      <c r="V52" s="557"/>
      <c r="BK52" s="317"/>
    </row>
    <row r="53" spans="1:63" ht="12.75" customHeight="1">
      <c r="A53" s="558"/>
      <c r="B53" s="559"/>
      <c r="C53" s="559"/>
      <c r="D53" s="559"/>
      <c r="E53" s="559"/>
      <c r="F53" s="559"/>
      <c r="G53" s="559"/>
      <c r="H53" s="559"/>
      <c r="I53" s="559"/>
      <c r="J53" s="559"/>
      <c r="K53" s="559"/>
      <c r="L53" s="559"/>
      <c r="M53" s="559"/>
      <c r="N53" s="559"/>
      <c r="O53" s="559"/>
      <c r="P53" s="559"/>
      <c r="Q53" s="559"/>
      <c r="R53" s="559"/>
      <c r="S53" s="559"/>
      <c r="T53" s="559"/>
      <c r="U53" s="559"/>
      <c r="V53" s="560"/>
      <c r="BK53" s="317"/>
    </row>
    <row r="54" spans="1:63" ht="12.75" customHeight="1">
      <c r="A54" s="558"/>
      <c r="B54" s="559"/>
      <c r="C54" s="559"/>
      <c r="D54" s="559"/>
      <c r="E54" s="559"/>
      <c r="F54" s="559"/>
      <c r="G54" s="559"/>
      <c r="H54" s="559"/>
      <c r="I54" s="559"/>
      <c r="J54" s="559"/>
      <c r="K54" s="559"/>
      <c r="L54" s="559"/>
      <c r="M54" s="559"/>
      <c r="N54" s="559"/>
      <c r="O54" s="559"/>
      <c r="P54" s="559"/>
      <c r="Q54" s="559"/>
      <c r="R54" s="559"/>
      <c r="S54" s="559"/>
      <c r="T54" s="559"/>
      <c r="U54" s="559"/>
      <c r="V54" s="560"/>
      <c r="BK54" s="317"/>
    </row>
    <row r="55" spans="1:63" ht="13.5" customHeight="1" thickBot="1">
      <c r="A55" s="561"/>
      <c r="B55" s="562"/>
      <c r="C55" s="562"/>
      <c r="D55" s="562"/>
      <c r="E55" s="562"/>
      <c r="F55" s="562"/>
      <c r="G55" s="562"/>
      <c r="H55" s="562"/>
      <c r="I55" s="562"/>
      <c r="J55" s="562"/>
      <c r="K55" s="562"/>
      <c r="L55" s="562"/>
      <c r="M55" s="562"/>
      <c r="N55" s="562"/>
      <c r="O55" s="562"/>
      <c r="P55" s="562"/>
      <c r="Q55" s="562"/>
      <c r="R55" s="562"/>
      <c r="S55" s="562"/>
      <c r="T55" s="562"/>
      <c r="U55" s="562"/>
      <c r="V55" s="563"/>
      <c r="BK55" s="317"/>
    </row>
    <row r="56" spans="1:63" ht="13.5" customHeight="1" thickTop="1">
      <c r="A56" s="309"/>
      <c r="B56" s="309"/>
      <c r="C56" s="309"/>
      <c r="D56" s="309"/>
      <c r="E56" s="309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09"/>
      <c r="V56" s="309"/>
    </row>
    <row r="57" spans="1:63" ht="13.5" customHeight="1">
      <c r="A57" s="309"/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</row>
    <row r="58" spans="1:63" ht="13.5" customHeight="1">
      <c r="A58" s="309"/>
      <c r="B58" s="309"/>
      <c r="C58" s="309"/>
      <c r="D58" s="309"/>
      <c r="E58" s="309"/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09"/>
      <c r="S58" s="309"/>
      <c r="T58" s="309"/>
      <c r="U58" s="309"/>
      <c r="V58" s="309"/>
    </row>
    <row r="59" spans="1:63" ht="13.5" customHeight="1">
      <c r="A59" s="309"/>
      <c r="B59" s="309"/>
      <c r="C59" s="309"/>
      <c r="D59" s="309"/>
      <c r="E59" s="309"/>
      <c r="F59" s="309"/>
      <c r="G59" s="309"/>
      <c r="H59" s="309"/>
      <c r="I59" s="309"/>
      <c r="J59" s="309"/>
      <c r="K59" s="309"/>
      <c r="L59" s="309"/>
      <c r="M59" s="309"/>
      <c r="N59" s="309"/>
      <c r="O59" s="309"/>
      <c r="P59" s="309"/>
      <c r="Q59" s="309"/>
      <c r="R59" s="309"/>
      <c r="S59" s="309"/>
      <c r="T59" s="309"/>
      <c r="U59" s="309"/>
      <c r="V59" s="309"/>
      <c r="AZ59" s="394"/>
      <c r="BA59" s="394"/>
      <c r="BB59" s="394"/>
      <c r="BC59" s="394"/>
      <c r="BD59" s="394"/>
      <c r="BE59" s="394"/>
    </row>
    <row r="60" spans="1:63" ht="13.5" customHeight="1">
      <c r="A60" s="309"/>
      <c r="B60" s="309"/>
      <c r="C60" s="309"/>
      <c r="D60" s="309"/>
      <c r="E60" s="309"/>
      <c r="F60" s="309"/>
      <c r="G60" s="309"/>
      <c r="H60" s="309"/>
      <c r="I60" s="309"/>
      <c r="J60" s="309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09"/>
      <c r="V60" s="309"/>
      <c r="BA60" s="394"/>
      <c r="BB60" s="394"/>
      <c r="BC60" s="394"/>
      <c r="BD60" s="394"/>
      <c r="BE60" s="394"/>
      <c r="BF60" s="394"/>
    </row>
    <row r="61" spans="1:63" ht="13.5" customHeight="1">
      <c r="A61" s="309"/>
      <c r="B61" s="309"/>
      <c r="C61" s="309"/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BB61" s="394"/>
      <c r="BC61" s="394"/>
      <c r="BD61" s="394"/>
      <c r="BE61" s="394"/>
      <c r="BF61" s="394"/>
      <c r="BG61" s="394"/>
    </row>
    <row r="62" spans="1:63" ht="13.5" customHeight="1">
      <c r="A62" s="309"/>
      <c r="B62" s="309"/>
      <c r="C62" s="309"/>
      <c r="D62" s="309"/>
      <c r="E62" s="309"/>
      <c r="F62" s="309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  <c r="BC62" s="394"/>
      <c r="BD62" s="394"/>
      <c r="BE62" s="394"/>
      <c r="BF62" s="394"/>
      <c r="BG62" s="394"/>
      <c r="BH62" s="394"/>
    </row>
    <row r="63" spans="1:63" ht="13.5" customHeight="1">
      <c r="A63" s="309"/>
      <c r="B63" s="309"/>
      <c r="C63" s="309"/>
      <c r="D63" s="309"/>
      <c r="E63" s="309"/>
      <c r="F63" s="309"/>
      <c r="G63" s="309"/>
      <c r="H63" s="309"/>
      <c r="I63" s="309"/>
      <c r="J63" s="309"/>
      <c r="K63" s="309"/>
      <c r="L63" s="309"/>
      <c r="M63" s="309"/>
      <c r="N63" s="309"/>
      <c r="O63" s="309"/>
      <c r="P63" s="309"/>
      <c r="Q63" s="309"/>
      <c r="R63" s="309"/>
      <c r="S63" s="309"/>
      <c r="T63" s="309"/>
      <c r="U63" s="309"/>
      <c r="V63" s="309"/>
      <c r="BD63" s="394"/>
      <c r="BE63" s="394"/>
      <c r="BF63" s="394"/>
      <c r="BG63" s="394"/>
      <c r="BH63" s="394"/>
    </row>
    <row r="64" spans="1:63" ht="13.5" customHeight="1">
      <c r="A64" s="309"/>
      <c r="B64" s="309"/>
      <c r="C64" s="309"/>
      <c r="D64" s="309"/>
      <c r="E64" s="309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09"/>
      <c r="V64" s="309"/>
      <c r="BE64" s="394"/>
      <c r="BF64" s="394"/>
      <c r="BG64" s="394"/>
      <c r="BH64" s="394"/>
    </row>
    <row r="65" spans="1:60" ht="13.5" customHeight="1">
      <c r="A65" s="309"/>
      <c r="B65" s="309"/>
      <c r="C65" s="309"/>
      <c r="D65" s="309"/>
      <c r="E65" s="309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09"/>
      <c r="V65" s="309"/>
      <c r="BF65" s="394"/>
      <c r="BG65" s="394"/>
      <c r="BH65" s="394"/>
    </row>
    <row r="66" spans="1:60" ht="13.5" customHeight="1">
      <c r="A66" s="309"/>
      <c r="B66" s="309"/>
      <c r="C66" s="309"/>
      <c r="D66" s="309"/>
      <c r="E66" s="309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09"/>
      <c r="U66" s="309"/>
      <c r="V66" s="309"/>
      <c r="BG66" s="394"/>
      <c r="BH66" s="394"/>
    </row>
    <row r="67" spans="1:60" ht="13.5" customHeight="1">
      <c r="A67" s="309"/>
      <c r="B67" s="309"/>
      <c r="C67" s="309"/>
      <c r="D67" s="309"/>
      <c r="E67" s="309"/>
      <c r="F67" s="309"/>
      <c r="G67" s="309"/>
      <c r="H67" s="309"/>
      <c r="I67" s="309"/>
      <c r="J67" s="309"/>
      <c r="K67" s="309"/>
      <c r="L67" s="309"/>
      <c r="M67" s="309"/>
      <c r="N67" s="309"/>
      <c r="O67" s="309"/>
      <c r="P67" s="309"/>
      <c r="Q67" s="309"/>
      <c r="R67" s="309"/>
      <c r="S67" s="309"/>
      <c r="T67" s="309"/>
      <c r="U67" s="309"/>
      <c r="V67" s="309"/>
      <c r="BH67" s="394"/>
    </row>
    <row r="68" spans="1:60" ht="13.5" customHeight="1">
      <c r="A68" s="309"/>
      <c r="B68" s="309"/>
      <c r="C68" s="309"/>
      <c r="D68" s="309"/>
      <c r="E68" s="309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</row>
    <row r="69" spans="1:60" ht="13.5" customHeight="1">
      <c r="A69" s="309"/>
      <c r="B69" s="309"/>
      <c r="C69" s="309"/>
      <c r="D69" s="309"/>
      <c r="E69" s="309"/>
      <c r="F69" s="309"/>
      <c r="G69" s="309"/>
      <c r="H69" s="309"/>
      <c r="I69" s="309"/>
      <c r="J69" s="309"/>
      <c r="K69" s="309"/>
      <c r="L69" s="309"/>
      <c r="M69" s="309"/>
      <c r="N69" s="309"/>
      <c r="O69" s="309"/>
      <c r="P69" s="309"/>
      <c r="Q69" s="309"/>
      <c r="R69" s="309"/>
      <c r="S69" s="309"/>
      <c r="T69" s="309"/>
      <c r="U69" s="309"/>
      <c r="V69" s="309"/>
    </row>
    <row r="70" spans="1:60" ht="13.5" customHeight="1">
      <c r="A70" s="309"/>
      <c r="B70" s="309"/>
      <c r="C70" s="309"/>
      <c r="D70" s="309"/>
      <c r="E70" s="309"/>
      <c r="F70" s="309"/>
      <c r="G70" s="309"/>
      <c r="H70" s="309"/>
      <c r="I70" s="309"/>
      <c r="J70" s="309"/>
      <c r="K70" s="309"/>
      <c r="L70" s="309"/>
      <c r="M70" s="309"/>
      <c r="N70" s="309"/>
      <c r="O70" s="309"/>
      <c r="P70" s="309"/>
      <c r="Q70" s="309"/>
      <c r="R70" s="309"/>
      <c r="S70" s="309"/>
      <c r="T70" s="309"/>
      <c r="U70" s="309"/>
      <c r="V70" s="309"/>
    </row>
    <row r="71" spans="1:60" ht="13.5" customHeight="1">
      <c r="A71" s="309"/>
      <c r="B71" s="309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</row>
    <row r="72" spans="1:60" ht="13.5" customHeight="1">
      <c r="A72" s="309"/>
      <c r="B72" s="309"/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</row>
    <row r="73" spans="1:60" ht="13.5" customHeight="1">
      <c r="A73" s="309"/>
      <c r="B73" s="309"/>
      <c r="C73" s="309"/>
      <c r="D73" s="309"/>
      <c r="E73" s="309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09"/>
      <c r="V73" s="309"/>
    </row>
    <row r="74" spans="1:60" ht="13.5" customHeight="1">
      <c r="A74" s="309"/>
      <c r="B74" s="309"/>
      <c r="C74" s="309"/>
      <c r="D74" s="309"/>
      <c r="E74" s="309"/>
      <c r="F74" s="309"/>
      <c r="G74" s="309"/>
      <c r="H74" s="309"/>
      <c r="I74" s="309"/>
      <c r="J74" s="309"/>
      <c r="K74" s="309"/>
      <c r="L74" s="309"/>
      <c r="M74" s="309"/>
      <c r="N74" s="309"/>
      <c r="O74" s="309"/>
      <c r="P74" s="309"/>
      <c r="Q74" s="309"/>
      <c r="R74" s="309"/>
      <c r="S74" s="309"/>
      <c r="T74" s="309"/>
      <c r="U74" s="309"/>
      <c r="V74" s="309"/>
    </row>
    <row r="75" spans="1:60" ht="13.5" customHeight="1">
      <c r="A75" s="309"/>
      <c r="B75" s="309"/>
      <c r="C75" s="309"/>
      <c r="D75" s="309"/>
      <c r="E75" s="309"/>
      <c r="F75" s="309"/>
      <c r="G75" s="309"/>
      <c r="H75" s="309"/>
      <c r="I75" s="309"/>
      <c r="J75" s="309"/>
      <c r="K75" s="309"/>
      <c r="L75" s="309"/>
      <c r="M75" s="309"/>
      <c r="N75" s="309"/>
      <c r="O75" s="309"/>
      <c r="P75" s="309"/>
      <c r="Q75" s="309"/>
      <c r="R75" s="309"/>
      <c r="S75" s="309"/>
      <c r="T75" s="309"/>
      <c r="U75" s="309"/>
      <c r="V75" s="309"/>
    </row>
    <row r="76" spans="1:60" ht="13.5" customHeight="1">
      <c r="A76" s="309"/>
      <c r="B76" s="309"/>
      <c r="C76" s="309"/>
      <c r="D76" s="309"/>
      <c r="E76" s="309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09"/>
      <c r="U76" s="309"/>
      <c r="V76" s="309"/>
    </row>
    <row r="77" spans="1:60" ht="13.5" customHeight="1">
      <c r="A77" s="309"/>
      <c r="B77" s="309"/>
      <c r="C77" s="309"/>
      <c r="D77" s="309"/>
      <c r="E77" s="309"/>
      <c r="F77" s="309"/>
      <c r="G77" s="309"/>
      <c r="H77" s="309"/>
      <c r="I77" s="309"/>
      <c r="J77" s="309"/>
      <c r="K77" s="309"/>
      <c r="L77" s="309"/>
      <c r="M77" s="309"/>
      <c r="N77" s="309"/>
      <c r="O77" s="309"/>
      <c r="P77" s="309"/>
      <c r="Q77" s="309"/>
      <c r="R77" s="309"/>
      <c r="S77" s="309"/>
      <c r="T77" s="309"/>
      <c r="U77" s="309"/>
      <c r="V77" s="309"/>
    </row>
    <row r="78" spans="1:60" ht="13.5" customHeight="1">
      <c r="A78" s="309"/>
      <c r="B78" s="309"/>
      <c r="C78" s="309"/>
      <c r="D78" s="309"/>
      <c r="E78" s="309"/>
      <c r="F78" s="309"/>
      <c r="G78" s="309"/>
      <c r="H78" s="309"/>
      <c r="I78" s="309"/>
      <c r="J78" s="309"/>
      <c r="K78" s="309"/>
      <c r="L78" s="309"/>
      <c r="M78" s="309"/>
      <c r="N78" s="309"/>
      <c r="O78" s="309"/>
      <c r="P78" s="309"/>
      <c r="Q78" s="309"/>
      <c r="R78" s="309"/>
      <c r="S78" s="309"/>
      <c r="T78" s="309"/>
      <c r="U78" s="309"/>
      <c r="V78" s="309"/>
    </row>
    <row r="79" spans="1:60" ht="13.5" customHeight="1">
      <c r="A79" s="309"/>
      <c r="B79" s="309"/>
      <c r="C79" s="309"/>
      <c r="D79" s="309"/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09"/>
      <c r="P79" s="309"/>
      <c r="Q79" s="309"/>
      <c r="R79" s="309"/>
      <c r="S79" s="309"/>
      <c r="T79" s="309"/>
      <c r="U79" s="309"/>
      <c r="V79" s="309"/>
    </row>
    <row r="80" spans="1:60" ht="13.5" customHeight="1">
      <c r="A80" s="309"/>
      <c r="B80" s="309"/>
      <c r="C80" s="309"/>
      <c r="D80" s="309"/>
      <c r="E80" s="309"/>
      <c r="F80" s="309"/>
      <c r="G80" s="309"/>
      <c r="H80" s="309"/>
      <c r="I80" s="309"/>
      <c r="J80" s="309"/>
      <c r="K80" s="309"/>
      <c r="L80" s="309"/>
      <c r="M80" s="309"/>
      <c r="N80" s="309"/>
      <c r="O80" s="309"/>
      <c r="P80" s="309"/>
      <c r="Q80" s="309"/>
      <c r="R80" s="309"/>
      <c r="S80" s="309"/>
      <c r="T80" s="309"/>
      <c r="U80" s="309"/>
      <c r="V80" s="309"/>
    </row>
    <row r="81" spans="1:22" ht="13.5" customHeight="1">
      <c r="A81" s="309"/>
      <c r="B81" s="309"/>
      <c r="C81" s="309"/>
      <c r="D81" s="309"/>
      <c r="E81" s="309"/>
      <c r="F81" s="309"/>
      <c r="G81" s="309"/>
      <c r="H81" s="309"/>
      <c r="I81" s="309"/>
      <c r="J81" s="309"/>
      <c r="K81" s="309"/>
      <c r="L81" s="309"/>
      <c r="M81" s="309"/>
      <c r="N81" s="309"/>
      <c r="O81" s="309"/>
      <c r="P81" s="309"/>
      <c r="Q81" s="309"/>
      <c r="R81" s="309"/>
      <c r="S81" s="309"/>
      <c r="T81" s="309"/>
      <c r="U81" s="309"/>
      <c r="V81" s="309"/>
    </row>
    <row r="82" spans="1:22" ht="13.5" customHeight="1">
      <c r="A82" s="309"/>
      <c r="B82" s="309"/>
      <c r="C82" s="309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09"/>
      <c r="V82" s="309"/>
    </row>
    <row r="83" spans="1:22" ht="13.5" customHeight="1">
      <c r="A83" s="309"/>
      <c r="B83" s="309"/>
      <c r="C83" s="309"/>
      <c r="D83" s="309"/>
      <c r="E83" s="309"/>
      <c r="F83" s="309"/>
      <c r="G83" s="309"/>
      <c r="H83" s="309"/>
      <c r="I83" s="309"/>
      <c r="J83" s="309"/>
      <c r="K83" s="309"/>
      <c r="L83" s="309"/>
      <c r="M83" s="309"/>
      <c r="N83" s="309"/>
      <c r="O83" s="309"/>
      <c r="P83" s="309"/>
      <c r="Q83" s="309"/>
      <c r="R83" s="309"/>
      <c r="S83" s="309"/>
      <c r="T83" s="309"/>
      <c r="U83" s="309"/>
      <c r="V83" s="309"/>
    </row>
    <row r="84" spans="1:22" ht="13.5" customHeight="1">
      <c r="A84" s="309"/>
      <c r="B84" s="309"/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</row>
    <row r="85" spans="1:22" ht="13.5" customHeight="1">
      <c r="A85" s="309"/>
      <c r="B85" s="309"/>
      <c r="C85" s="309"/>
      <c r="D85" s="309"/>
      <c r="E85" s="309"/>
      <c r="F85" s="309"/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09"/>
      <c r="R85" s="309"/>
      <c r="S85" s="309"/>
      <c r="T85" s="309"/>
      <c r="U85" s="309"/>
      <c r="V85" s="309"/>
    </row>
    <row r="86" spans="1:22" ht="13.5" customHeight="1">
      <c r="A86" s="309"/>
      <c r="B86" s="309"/>
      <c r="C86" s="309"/>
      <c r="D86" s="309"/>
      <c r="E86" s="309"/>
      <c r="F86" s="309"/>
      <c r="G86" s="309"/>
      <c r="H86" s="309"/>
      <c r="I86" s="309"/>
      <c r="J86" s="309"/>
      <c r="K86" s="309"/>
      <c r="L86" s="309"/>
      <c r="M86" s="309"/>
      <c r="N86" s="309"/>
      <c r="O86" s="309"/>
      <c r="P86" s="309"/>
      <c r="Q86" s="309"/>
      <c r="R86" s="309"/>
      <c r="S86" s="309"/>
      <c r="T86" s="309"/>
      <c r="U86" s="309"/>
      <c r="V86" s="309"/>
    </row>
    <row r="87" spans="1:22" ht="13.5" customHeight="1">
      <c r="A87" s="309"/>
      <c r="B87" s="309"/>
      <c r="C87" s="309"/>
      <c r="D87" s="309"/>
      <c r="E87" s="309"/>
      <c r="F87" s="309"/>
      <c r="G87" s="309"/>
      <c r="H87" s="309"/>
      <c r="I87" s="309"/>
      <c r="J87" s="309"/>
      <c r="K87" s="309"/>
      <c r="L87" s="309"/>
      <c r="M87" s="309"/>
      <c r="N87" s="309"/>
      <c r="O87" s="309"/>
      <c r="P87" s="309"/>
      <c r="Q87" s="309"/>
      <c r="R87" s="309"/>
      <c r="S87" s="309"/>
      <c r="T87" s="309"/>
      <c r="U87" s="309"/>
      <c r="V87" s="309"/>
    </row>
    <row r="88" spans="1:22" ht="13.5" customHeight="1">
      <c r="A88" s="309"/>
      <c r="B88" s="309"/>
      <c r="C88" s="309"/>
      <c r="D88" s="309"/>
      <c r="E88" s="309"/>
      <c r="F88" s="309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</row>
    <row r="89" spans="1:22" ht="13.5" customHeight="1">
      <c r="A89" s="309"/>
      <c r="B89" s="309"/>
      <c r="C89" s="309"/>
      <c r="D89" s="309"/>
      <c r="E89" s="309"/>
      <c r="F89" s="309"/>
      <c r="G89" s="309"/>
      <c r="H89" s="309"/>
      <c r="I89" s="309"/>
      <c r="J89" s="309"/>
      <c r="K89" s="309"/>
      <c r="L89" s="309"/>
      <c r="M89" s="309"/>
      <c r="N89" s="309"/>
      <c r="O89" s="309"/>
      <c r="P89" s="309"/>
      <c r="Q89" s="309"/>
      <c r="R89" s="309"/>
      <c r="S89" s="309"/>
      <c r="T89" s="309"/>
      <c r="U89" s="309"/>
      <c r="V89" s="309"/>
    </row>
    <row r="90" spans="1:22" ht="13.5" customHeight="1">
      <c r="A90" s="309"/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</row>
    <row r="91" spans="1:22" ht="13.5" customHeight="1">
      <c r="A91" s="309"/>
      <c r="B91" s="309"/>
      <c r="C91" s="309"/>
      <c r="D91" s="309"/>
      <c r="E91" s="309"/>
      <c r="F91" s="309"/>
      <c r="G91" s="309"/>
      <c r="H91" s="309"/>
      <c r="I91" s="309"/>
      <c r="J91" s="309"/>
      <c r="K91" s="309"/>
      <c r="L91" s="309"/>
      <c r="M91" s="309"/>
      <c r="N91" s="309"/>
      <c r="O91" s="309"/>
      <c r="P91" s="309"/>
      <c r="Q91" s="309"/>
      <c r="R91" s="309"/>
      <c r="S91" s="309"/>
      <c r="T91" s="309"/>
      <c r="U91" s="309"/>
      <c r="V91" s="309"/>
    </row>
    <row r="92" spans="1:22" ht="13.5" customHeight="1">
      <c r="A92" s="309"/>
      <c r="B92" s="309"/>
      <c r="C92" s="309"/>
      <c r="D92" s="309"/>
      <c r="E92" s="309"/>
      <c r="F92" s="309"/>
      <c r="G92" s="309"/>
      <c r="H92" s="309"/>
      <c r="I92" s="309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09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8"/>
    </row>
  </sheetData>
  <mergeCells count="13">
    <mergeCell ref="A52:V55"/>
    <mergeCell ref="B6:B12"/>
    <mergeCell ref="J6:J12"/>
    <mergeCell ref="L6:M12"/>
    <mergeCell ref="CG25:CN25"/>
    <mergeCell ref="BY15:CF15"/>
    <mergeCell ref="BY20:CF20"/>
    <mergeCell ref="BY25:CF25"/>
    <mergeCell ref="A1:O2"/>
    <mergeCell ref="P1:R4"/>
    <mergeCell ref="S1:V4"/>
    <mergeCell ref="A3:O4"/>
    <mergeCell ref="BY10:CF1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Standard</vt:lpstr>
      <vt:lpstr>hourlyExcel</vt:lpstr>
      <vt:lpstr>hourlyJava</vt:lpstr>
      <vt:lpstr>Proposal</vt:lpstr>
      <vt:lpstr>Proposal (2)</vt:lpstr>
      <vt:lpstr>Proposal (3)</vt:lpstr>
      <vt:lpstr>OEE</vt:lpstr>
      <vt:lpstr>Proposal!Print_Area</vt:lpstr>
      <vt:lpstr>'Proposal (2)'!Print_Area</vt:lpstr>
      <vt:lpstr>'Proposal (3)'!Print_Area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2017-11-21T16:54:23Z</dcterms:modified>
</cp:coreProperties>
</file>